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h13\Desktop\mudt course\sem2\7002Smart Transit-Oriented Development Design Studio\JLOS\JLOS Diagram Generator Setup\JLOS\"/>
    </mc:Choice>
  </mc:AlternateContent>
  <xr:revisionPtr revIDLastSave="0" documentId="13_ncr:1_{6E17BDE4-31F4-4A31-9A54-AB4F7FFC41FD}" xr6:coauthVersionLast="47" xr6:coauthVersionMax="47" xr10:uidLastSave="{00000000-0000-0000-0000-000000000000}"/>
  <bookViews>
    <workbookView xWindow="5400" yWindow="3550" windowWidth="19200" windowHeight="11170" activeTab="1" xr2:uid="{00000000-000D-0000-FFFF-FFFF00000000}"/>
  </bookViews>
  <sheets>
    <sheet name="JLOS_data" sheetId="1" r:id="rId1"/>
    <sheet name="Inputs" sheetId="5" r:id="rId2"/>
    <sheet name="HIDDEN - Assumptions" sheetId="4" state="hidden" r:id="rId3"/>
    <sheet name="HIDDEN - vlookup" sheetId="2" state="hidden" r:id="rId4"/>
    <sheet name="HIDDEN - LOS Calculation" sheetId="3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2" i="1" l="1"/>
  <c r="B32" i="1"/>
  <c r="C32" i="1"/>
  <c r="D32" i="1"/>
  <c r="E32" i="1"/>
  <c r="F32" i="1"/>
  <c r="G32" i="1"/>
  <c r="H32" i="1"/>
  <c r="C1" i="1"/>
  <c r="B1" i="1"/>
  <c r="G1" i="1"/>
  <c r="G7" i="1" l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6" i="1"/>
  <c r="G5" i="1"/>
  <c r="G4" i="1"/>
  <c r="G3" i="1"/>
  <c r="G2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F2" i="1"/>
  <c r="E2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H33" i="1"/>
  <c r="G33" i="1"/>
  <c r="F33" i="1"/>
  <c r="E33" i="1"/>
  <c r="D33" i="1"/>
  <c r="C33" i="1"/>
  <c r="B33" i="1"/>
  <c r="A33" i="1"/>
  <c r="B31" i="1" l="1"/>
  <c r="C31" i="1"/>
  <c r="E46" i="3"/>
  <c r="E41" i="3"/>
  <c r="E4" i="3"/>
  <c r="C5" i="4"/>
  <c r="E35" i="3" s="1"/>
  <c r="E48" i="3" l="1"/>
  <c r="E36" i="3"/>
  <c r="E30" i="3"/>
  <c r="E49" i="3"/>
  <c r="E50" i="3" s="1"/>
  <c r="E42" i="3"/>
  <c r="E31" i="3"/>
  <c r="E32" i="3" s="1"/>
  <c r="E37" i="3"/>
</calcChain>
</file>

<file path=xl/sharedStrings.xml><?xml version="1.0" encoding="utf-8"?>
<sst xmlns="http://schemas.openxmlformats.org/spreadsheetml/2006/main" count="212" uniqueCount="150">
  <si>
    <t>SEGMENT</t>
  </si>
  <si>
    <t>metro</t>
  </si>
  <si>
    <t>bus</t>
  </si>
  <si>
    <t>X-Y SCALE&gt;&gt;</t>
  </si>
  <si>
    <t>BRT</t>
  </si>
  <si>
    <t>rail</t>
  </si>
  <si>
    <t>ferry</t>
  </si>
  <si>
    <t>bike</t>
  </si>
  <si>
    <t>taxi</t>
  </si>
  <si>
    <t>uber</t>
  </si>
  <si>
    <t>private car</t>
  </si>
  <si>
    <t>A</t>
  </si>
  <si>
    <t>B</t>
  </si>
  <si>
    <t>C</t>
  </si>
  <si>
    <t>E</t>
  </si>
  <si>
    <t>D</t>
  </si>
  <si>
    <t>F</t>
  </si>
  <si>
    <t>counterflow</t>
  </si>
  <si>
    <t>wc</t>
  </si>
  <si>
    <t>turnstiles</t>
  </si>
  <si>
    <t>bottleneck</t>
  </si>
  <si>
    <t>ticketing</t>
  </si>
  <si>
    <t>crossflow</t>
  </si>
  <si>
    <t>retail</t>
  </si>
  <si>
    <t>tour coach</t>
  </si>
  <si>
    <t>smart car</t>
  </si>
  <si>
    <t>air departure</t>
  </si>
  <si>
    <t>air arrival</t>
  </si>
  <si>
    <t>APM</t>
  </si>
  <si>
    <t>cable car</t>
  </si>
  <si>
    <t>queuing</t>
  </si>
  <si>
    <t>counterflow and crossflow</t>
  </si>
  <si>
    <t>escalator up</t>
  </si>
  <si>
    <t>escalator down</t>
  </si>
  <si>
    <t>stair up</t>
  </si>
  <si>
    <t>stair down</t>
  </si>
  <si>
    <t>F&amp;B</t>
  </si>
  <si>
    <t>TOTAL&gt;&gt;</t>
  </si>
  <si>
    <t>GF</t>
  </si>
  <si>
    <t>L1</t>
  </si>
  <si>
    <t>switch back</t>
  </si>
  <si>
    <t>OVERALL LOS &gt;&gt;</t>
  </si>
  <si>
    <t>Walking Speed</t>
  </si>
  <si>
    <t>m/min</t>
  </si>
  <si>
    <t>Escalator Speed</t>
  </si>
  <si>
    <t>m</t>
  </si>
  <si>
    <t>Escalator Nominal Capacity</t>
  </si>
  <si>
    <t>pax/min</t>
  </si>
  <si>
    <t>UNIT</t>
  </si>
  <si>
    <t>Peak Hour Factor (Hour to 5-min)</t>
  </si>
  <si>
    <t>%</t>
  </si>
  <si>
    <t>Peak Hour</t>
  </si>
  <si>
    <t>Peak 5-min</t>
  </si>
  <si>
    <t>Horizton al Distance</t>
  </si>
  <si>
    <t>Vertical Distance</t>
  </si>
  <si>
    <t>Start</t>
  </si>
  <si>
    <t>Middle</t>
  </si>
  <si>
    <t>u</t>
  </si>
  <si>
    <t>Effective Width Reduction (both sides)</t>
  </si>
  <si>
    <t>Passenger Flow Rate</t>
  </si>
  <si>
    <t>Distance Traveled</t>
  </si>
  <si>
    <t>Environment</t>
  </si>
  <si>
    <t>Assistance</t>
  </si>
  <si>
    <t>Activity</t>
  </si>
  <si>
    <t>PFM</t>
  </si>
  <si>
    <t>Resistance</t>
  </si>
  <si>
    <t>OA</t>
  </si>
  <si>
    <t>SH</t>
  </si>
  <si>
    <t>AC</t>
  </si>
  <si>
    <t>CR</t>
  </si>
  <si>
    <t>CO</t>
  </si>
  <si>
    <t>RA</t>
  </si>
  <si>
    <t>ST</t>
  </si>
  <si>
    <t>ES</t>
  </si>
  <si>
    <t>EL</t>
  </si>
  <si>
    <t>Ramp?</t>
  </si>
  <si>
    <t>Open-air?</t>
  </si>
  <si>
    <t>Sheltered?</t>
  </si>
  <si>
    <t>Air-conditioned?</t>
  </si>
  <si>
    <t>Stair?</t>
  </si>
  <si>
    <t>Escalator?</t>
  </si>
  <si>
    <t>Elevator?</t>
  </si>
  <si>
    <t>Crossflow?</t>
  </si>
  <si>
    <t>Counterflow?</t>
  </si>
  <si>
    <t>XXX</t>
  </si>
  <si>
    <t>01</t>
  </si>
  <si>
    <t>LOS</t>
  </si>
  <si>
    <t>Fruin LOS Score</t>
  </si>
  <si>
    <t>Case 1: Gradient &lt; 8.3% (1 in 12)</t>
  </si>
  <si>
    <t>FRUIN LOS: GRADIENT &lt; 8.3%</t>
  </si>
  <si>
    <t>PLANNING ASSUMPTIONS</t>
  </si>
  <si>
    <t>FRUIN LOS: STAIR</t>
  </si>
  <si>
    <t>Case 2: Stair</t>
  </si>
  <si>
    <t>Case 3: Escalator Only</t>
  </si>
  <si>
    <t>No. of Escalators</t>
  </si>
  <si>
    <t>Redundancy</t>
  </si>
  <si>
    <t>Y/N</t>
  </si>
  <si>
    <t>Y</t>
  </si>
  <si>
    <t>Escalator Capacity</t>
  </si>
  <si>
    <t>XXXXXXXXX</t>
  </si>
  <si>
    <t>Case 4: Escalator+Stair</t>
  </si>
  <si>
    <t>N</t>
  </si>
  <si>
    <t>Stair Width (Gross)</t>
  </si>
  <si>
    <t>Corridor Width (Gross)</t>
  </si>
  <si>
    <t>Corridor Width (Effective)</t>
  </si>
  <si>
    <t>Stair Width (Effective)</t>
  </si>
  <si>
    <t>00</t>
  </si>
  <si>
    <t>Level</t>
  </si>
  <si>
    <t>Bottleneck</t>
  </si>
  <si>
    <t>Ticketing</t>
  </si>
  <si>
    <t>02</t>
  </si>
  <si>
    <t>03</t>
  </si>
  <si>
    <t>04</t>
  </si>
  <si>
    <t>05</t>
  </si>
  <si>
    <t>06</t>
  </si>
  <si>
    <t>07</t>
  </si>
  <si>
    <t>08</t>
  </si>
  <si>
    <t>09</t>
  </si>
  <si>
    <t>(m)</t>
  </si>
  <si>
    <t>Horizontal Distance (m)</t>
  </si>
  <si>
    <t>Vertical Distance (m)</t>
  </si>
  <si>
    <t>Weather Protection (1=Open-air | 2=Sheltered | 3=Air-conditioned)</t>
  </si>
  <si>
    <t>Air Taxi</t>
  </si>
  <si>
    <t>Bus</t>
  </si>
  <si>
    <t>Tour Coach</t>
  </si>
  <si>
    <t>Rail</t>
  </si>
  <si>
    <t>Metro</t>
  </si>
  <si>
    <t>Level of Service (A=50 | B=51 | C=52 | D=53 | E=54 | F=55)</t>
  </si>
  <si>
    <t>SEGMENT DATA</t>
  </si>
  <si>
    <t>Ferry</t>
  </si>
  <si>
    <t>Taxi</t>
  </si>
  <si>
    <t>Uber</t>
  </si>
  <si>
    <t>Bike</t>
  </si>
  <si>
    <t>Private Car</t>
  </si>
  <si>
    <t>Autonomous Vehicle</t>
  </si>
  <si>
    <t>Minibus</t>
  </si>
  <si>
    <t>SEGMENT PICTO</t>
  </si>
  <si>
    <t>STARTING POINT of the Segment (See legend below)</t>
  </si>
  <si>
    <t>Escalator UP</t>
  </si>
  <si>
    <t>Escalator DOWN</t>
  </si>
  <si>
    <t>Stair UP</t>
  </si>
  <si>
    <t>Stair DOWN</t>
  </si>
  <si>
    <t>Turnstiles</t>
  </si>
  <si>
    <t>Toilet</t>
  </si>
  <si>
    <t>Retail</t>
  </si>
  <si>
    <t>Food &amp; Beverages</t>
  </si>
  <si>
    <t>MIDPOINT of the Segment (See legend below)</t>
  </si>
  <si>
    <t>OVERALL JLOS</t>
  </si>
  <si>
    <t>X</t>
  </si>
  <si>
    <t>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</si>
</sst>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#,##0.0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Bahnschrift Light"/>
      <family val="2"/>
    </font>
    <font>
      <sz val="10"/>
      <color theme="1"/>
      <name val="Bahnschrift Light"/>
      <family val="2"/>
    </font>
    <font>
      <sz val="10"/>
      <color theme="0"/>
      <name val="Bahnschrift Light"/>
      <family val="2"/>
    </font>
    <font>
      <sz val="10"/>
      <color theme="1" tint="0.34998626667073579"/>
      <name val="Bahnschrift Light"/>
      <family val="2"/>
    </font>
    <font>
      <sz val="10"/>
      <color theme="0"/>
      <name val="Bahnschrift"/>
      <family val="2"/>
    </font>
    <font>
      <sz val="10"/>
      <color theme="1"/>
      <name val="Bahnschrift"/>
      <family val="2"/>
    </font>
    <font>
      <sz val="12"/>
      <color theme="0"/>
      <name val="Bahnschrift"/>
      <family val="2"/>
    </font>
    <font>
      <sz val="12"/>
      <color theme="1"/>
      <name val="Bahnschrift Light"/>
      <family val="2"/>
    </font>
    <font>
      <sz val="6"/>
      <color theme="1"/>
      <name val="Wingdings 3"/>
      <family val="1"/>
      <charset val="2"/>
    </font>
    <font>
      <sz val="6"/>
      <color theme="1"/>
      <name val="Bahnschrift Light"/>
      <family val="2"/>
    </font>
    <font>
      <sz val="6"/>
      <color theme="1"/>
      <name val="Calibri"/>
      <family val="2"/>
      <scheme val="minor"/>
    </font>
    <font>
      <sz val="6"/>
      <color theme="8" tint="-0.249977111117893"/>
      <name val="Bahnschrift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 tint="0.34998626667073579"/>
      <name val="Bahnschrift Light"/>
      <family val="2"/>
    </font>
    <font>
      <sz val="11"/>
      <name val="Bahnschrift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Calibri"/>
      <family val="3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theme="0" tint="-0.2499465926084170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118">
    <xf numFmtId="0" fontId="0" fillId="0" borderId="0" xfId="0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21" fillId="34" borderId="0" xfId="0" applyFont="1" applyFill="1" applyAlignment="1">
      <alignment horizontal="center" vertical="center"/>
    </xf>
    <xf numFmtId="0" fontId="22" fillId="36" borderId="0" xfId="0" applyFont="1" applyFill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19" fillId="37" borderId="0" xfId="0" applyFont="1" applyFill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2" fillId="37" borderId="0" xfId="0" applyFont="1" applyFill="1" applyAlignment="1">
      <alignment horizontal="center" vertical="center" wrapText="1"/>
    </xf>
    <xf numFmtId="0" fontId="22" fillId="37" borderId="0" xfId="0" applyFont="1" applyFill="1" applyAlignment="1">
      <alignment horizontal="center" vertical="center"/>
    </xf>
    <xf numFmtId="0" fontId="23" fillId="37" borderId="0" xfId="0" applyFont="1" applyFill="1" applyAlignment="1">
      <alignment horizontal="center" vertical="center"/>
    </xf>
    <xf numFmtId="0" fontId="23" fillId="37" borderId="0" xfId="0" applyFont="1" applyFill="1" applyAlignment="1">
      <alignment horizontal="left" vertical="center"/>
    </xf>
    <xf numFmtId="9" fontId="19" fillId="0" borderId="0" xfId="0" applyNumberFormat="1" applyFont="1" applyAlignment="1">
      <alignment horizontal="center" vertical="center"/>
    </xf>
    <xf numFmtId="3" fontId="19" fillId="0" borderId="0" xfId="42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19" fillId="39" borderId="12" xfId="0" applyFont="1" applyFill="1" applyBorder="1" applyAlignment="1">
      <alignment horizontal="left" vertical="center"/>
    </xf>
    <xf numFmtId="0" fontId="0" fillId="39" borderId="12" xfId="0" applyFill="1" applyBorder="1" applyAlignment="1">
      <alignment horizontal="left"/>
    </xf>
    <xf numFmtId="0" fontId="0" fillId="39" borderId="13" xfId="0" applyFill="1" applyBorder="1" applyAlignment="1">
      <alignment horizontal="left"/>
    </xf>
    <xf numFmtId="0" fontId="0" fillId="0" borderId="14" xfId="0" applyBorder="1" applyAlignment="1">
      <alignment horizontal="left"/>
    </xf>
    <xf numFmtId="0" fontId="19" fillId="39" borderId="15" xfId="0" applyFont="1" applyFill="1" applyBorder="1" applyAlignment="1">
      <alignment horizontal="left" vertical="center"/>
    </xf>
    <xf numFmtId="0" fontId="22" fillId="35" borderId="11" xfId="0" applyFont="1" applyFill="1" applyBorder="1" applyAlignment="1">
      <alignment horizontal="left" vertical="center"/>
    </xf>
    <xf numFmtId="0" fontId="22" fillId="35" borderId="11" xfId="0" applyFont="1" applyFill="1" applyBorder="1" applyAlignment="1">
      <alignment horizontal="center" vertical="center" wrapText="1"/>
    </xf>
    <xf numFmtId="0" fontId="22" fillId="35" borderId="11" xfId="0" applyFont="1" applyFill="1" applyBorder="1" applyAlignment="1">
      <alignment horizontal="center" vertical="center"/>
    </xf>
    <xf numFmtId="0" fontId="19" fillId="39" borderId="15" xfId="0" applyFont="1" applyFill="1" applyBorder="1" applyAlignment="1">
      <alignment horizontal="center" vertical="center"/>
    </xf>
    <xf numFmtId="0" fontId="19" fillId="39" borderId="12" xfId="0" applyFont="1" applyFill="1" applyBorder="1" applyAlignment="1">
      <alignment horizontal="center" vertical="center"/>
    </xf>
    <xf numFmtId="0" fontId="0" fillId="39" borderId="12" xfId="0" applyFill="1" applyBorder="1" applyAlignment="1">
      <alignment horizontal="center"/>
    </xf>
    <xf numFmtId="0" fontId="0" fillId="39" borderId="1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2" fontId="19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166" fontId="19" fillId="0" borderId="0" xfId="42" applyNumberFormat="1" applyFont="1" applyAlignment="1">
      <alignment horizontal="center" vertical="center"/>
    </xf>
    <xf numFmtId="0" fontId="25" fillId="40" borderId="15" xfId="0" applyFont="1" applyFill="1" applyBorder="1" applyAlignment="1">
      <alignment horizontal="left" vertical="center"/>
    </xf>
    <xf numFmtId="0" fontId="19" fillId="40" borderId="12" xfId="0" applyFont="1" applyFill="1" applyBorder="1" applyAlignment="1">
      <alignment horizontal="center" vertical="center"/>
    </xf>
    <xf numFmtId="3" fontId="19" fillId="40" borderId="0" xfId="42" applyNumberFormat="1" applyFont="1" applyFill="1" applyAlignment="1">
      <alignment horizontal="center" vertical="center"/>
    </xf>
    <xf numFmtId="0" fontId="19" fillId="40" borderId="0" xfId="0" applyFont="1" applyFill="1" applyAlignment="1">
      <alignment horizontal="center" vertical="center"/>
    </xf>
    <xf numFmtId="4" fontId="19" fillId="0" borderId="0" xfId="42" applyNumberFormat="1" applyFont="1" applyAlignment="1">
      <alignment horizontal="center" vertical="center"/>
    </xf>
    <xf numFmtId="0" fontId="24" fillId="35" borderId="11" xfId="0" applyFont="1" applyFill="1" applyBorder="1" applyAlignment="1">
      <alignment horizontal="left" vertical="center"/>
    </xf>
    <xf numFmtId="0" fontId="24" fillId="35" borderId="11" xfId="0" applyFont="1" applyFill="1" applyBorder="1" applyAlignment="1">
      <alignment horizontal="center" vertical="center"/>
    </xf>
    <xf numFmtId="0" fontId="24" fillId="35" borderId="11" xfId="0" quotePrefix="1" applyFont="1" applyFill="1" applyBorder="1" applyAlignment="1">
      <alignment horizontal="center" vertical="center" wrapText="1"/>
    </xf>
    <xf numFmtId="0" fontId="24" fillId="35" borderId="11" xfId="0" applyFont="1" applyFill="1" applyBorder="1" applyAlignment="1">
      <alignment horizontal="center" vertical="center" wrapText="1"/>
    </xf>
    <xf numFmtId="0" fontId="29" fillId="35" borderId="11" xfId="0" applyFont="1" applyFill="1" applyBorder="1" applyAlignment="1">
      <alignment horizontal="center" vertical="center"/>
    </xf>
    <xf numFmtId="0" fontId="19" fillId="39" borderId="12" xfId="0" applyFont="1" applyFill="1" applyBorder="1" applyAlignment="1">
      <alignment horizontal="left" vertical="center" indent="3"/>
    </xf>
    <xf numFmtId="0" fontId="25" fillId="41" borderId="12" xfId="0" applyFont="1" applyFill="1" applyBorder="1" applyAlignment="1">
      <alignment horizontal="left" vertical="center"/>
    </xf>
    <xf numFmtId="0" fontId="19" fillId="41" borderId="12" xfId="0" applyFont="1" applyFill="1" applyBorder="1" applyAlignment="1">
      <alignment horizontal="center" vertical="center"/>
    </xf>
    <xf numFmtId="3" fontId="19" fillId="41" borderId="0" xfId="42" applyNumberFormat="1" applyFont="1" applyFill="1" applyAlignment="1">
      <alignment horizontal="center" vertical="center"/>
    </xf>
    <xf numFmtId="0" fontId="19" fillId="41" borderId="0" xfId="0" applyFont="1" applyFill="1" applyAlignment="1">
      <alignment horizontal="center" vertical="center"/>
    </xf>
    <xf numFmtId="0" fontId="29" fillId="35" borderId="17" xfId="0" applyFont="1" applyFill="1" applyBorder="1" applyAlignment="1">
      <alignment horizontal="center" vertical="center"/>
    </xf>
    <xf numFmtId="0" fontId="26" fillId="40" borderId="18" xfId="0" applyFont="1" applyFill="1" applyBorder="1" applyAlignment="1">
      <alignment horizontal="center" vertical="center"/>
    </xf>
    <xf numFmtId="0" fontId="26" fillId="39" borderId="18" xfId="0" applyFont="1" applyFill="1" applyBorder="1" applyAlignment="1">
      <alignment horizontal="center" vertical="center"/>
    </xf>
    <xf numFmtId="0" fontId="27" fillId="39" borderId="18" xfId="0" applyFont="1" applyFill="1" applyBorder="1" applyAlignment="1">
      <alignment horizontal="center" vertical="center"/>
    </xf>
    <xf numFmtId="0" fontId="27" fillId="41" borderId="18" xfId="0" applyFont="1" applyFill="1" applyBorder="1" applyAlignment="1">
      <alignment horizontal="center" vertical="center"/>
    </xf>
    <xf numFmtId="0" fontId="28" fillId="39" borderId="18" xfId="0" applyFont="1" applyFill="1" applyBorder="1" applyAlignment="1">
      <alignment horizontal="center"/>
    </xf>
    <xf numFmtId="0" fontId="28" fillId="39" borderId="19" xfId="0" applyFont="1" applyFill="1" applyBorder="1" applyAlignment="1">
      <alignment horizontal="center"/>
    </xf>
    <xf numFmtId="0" fontId="28" fillId="0" borderId="16" xfId="0" applyFont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34" borderId="0" xfId="0" applyFont="1" applyFill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30" fillId="0" borderId="11" xfId="0" applyFont="1" applyBorder="1" applyAlignment="1">
      <alignment horizontal="center" vertical="center"/>
    </xf>
    <xf numFmtId="0" fontId="30" fillId="0" borderId="11" xfId="0" applyFont="1" applyBorder="1" applyAlignment="1">
      <alignment vertical="center"/>
    </xf>
    <xf numFmtId="0" fontId="21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32" fillId="34" borderId="0" xfId="0" applyFont="1" applyFill="1" applyAlignment="1">
      <alignment horizontal="center" vertical="center"/>
    </xf>
    <xf numFmtId="0" fontId="33" fillId="37" borderId="0" xfId="0" applyFont="1" applyFill="1" applyAlignment="1">
      <alignment horizontal="center" vertical="center"/>
    </xf>
    <xf numFmtId="1" fontId="32" fillId="34" borderId="0" xfId="0" applyNumberFormat="1" applyFont="1" applyFill="1" applyAlignment="1">
      <alignment horizontal="center" vertical="center"/>
    </xf>
    <xf numFmtId="0" fontId="30" fillId="42" borderId="0" xfId="0" applyFont="1" applyFill="1" applyAlignment="1">
      <alignment vertical="center"/>
    </xf>
    <xf numFmtId="0" fontId="30" fillId="38" borderId="0" xfId="0" applyFont="1" applyFill="1" applyAlignment="1">
      <alignment vertical="center"/>
    </xf>
    <xf numFmtId="0" fontId="30" fillId="34" borderId="0" xfId="0" applyFont="1" applyFill="1" applyAlignment="1">
      <alignment vertical="center"/>
    </xf>
    <xf numFmtId="0" fontId="30" fillId="34" borderId="0" xfId="0" applyFont="1" applyFill="1" applyAlignment="1">
      <alignment horizontal="right" vertical="center"/>
    </xf>
    <xf numFmtId="0" fontId="36" fillId="43" borderId="20" xfId="0" applyFont="1" applyFill="1" applyBorder="1" applyAlignment="1">
      <alignment horizontal="left" vertical="center"/>
    </xf>
    <xf numFmtId="0" fontId="36" fillId="43" borderId="20" xfId="0" quotePrefix="1" applyFont="1" applyFill="1" applyBorder="1" applyAlignment="1">
      <alignment horizontal="center" vertical="center"/>
    </xf>
    <xf numFmtId="0" fontId="36" fillId="43" borderId="20" xfId="0" applyFont="1" applyFill="1" applyBorder="1" applyAlignment="1">
      <alignment horizontal="center" vertical="center"/>
    </xf>
    <xf numFmtId="0" fontId="36" fillId="43" borderId="22" xfId="0" applyFont="1" applyFill="1" applyBorder="1" applyAlignment="1">
      <alignment horizontal="center" vertical="center"/>
    </xf>
    <xf numFmtId="0" fontId="31" fillId="41" borderId="0" xfId="0" applyFont="1" applyFill="1" applyAlignment="1">
      <alignment horizontal="left" vertical="center"/>
    </xf>
    <xf numFmtId="165" fontId="37" fillId="41" borderId="0" xfId="0" applyNumberFormat="1" applyFont="1" applyFill="1" applyAlignment="1">
      <alignment horizontal="center" vertical="center"/>
    </xf>
    <xf numFmtId="165" fontId="37" fillId="41" borderId="16" xfId="0" applyNumberFormat="1" applyFont="1" applyFill="1" applyBorder="1" applyAlignment="1">
      <alignment horizontal="center" vertical="center"/>
    </xf>
    <xf numFmtId="1" fontId="37" fillId="41" borderId="0" xfId="0" applyNumberFormat="1" applyFont="1" applyFill="1" applyAlignment="1">
      <alignment horizontal="center" vertical="center"/>
    </xf>
    <xf numFmtId="1" fontId="37" fillId="41" borderId="16" xfId="0" applyNumberFormat="1" applyFont="1" applyFill="1" applyBorder="1" applyAlignment="1">
      <alignment horizontal="center" vertical="center"/>
    </xf>
    <xf numFmtId="0" fontId="31" fillId="41" borderId="11" xfId="0" applyFont="1" applyFill="1" applyBorder="1" applyAlignment="1">
      <alignment horizontal="left" vertical="center"/>
    </xf>
    <xf numFmtId="1" fontId="37" fillId="41" borderId="11" xfId="0" applyNumberFormat="1" applyFont="1" applyFill="1" applyBorder="1" applyAlignment="1">
      <alignment horizontal="center" vertical="center"/>
    </xf>
    <xf numFmtId="1" fontId="37" fillId="41" borderId="17" xfId="0" applyNumberFormat="1" applyFont="1" applyFill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5" fillId="43" borderId="20" xfId="0" applyFont="1" applyFill="1" applyBorder="1" applyAlignment="1">
      <alignment horizontal="center" vertical="center"/>
    </xf>
    <xf numFmtId="0" fontId="30" fillId="41" borderId="0" xfId="0" applyFont="1" applyFill="1" applyAlignment="1">
      <alignment horizontal="right" vertical="center"/>
    </xf>
    <xf numFmtId="0" fontId="30" fillId="41" borderId="11" xfId="0" applyFont="1" applyFill="1" applyBorder="1" applyAlignment="1">
      <alignment horizontal="right" vertical="center"/>
    </xf>
    <xf numFmtId="0" fontId="34" fillId="34" borderId="0" xfId="0" applyFont="1" applyFill="1" applyAlignment="1">
      <alignment vertical="center"/>
    </xf>
    <xf numFmtId="0" fontId="16" fillId="44" borderId="22" xfId="0" quotePrefix="1" applyFont="1" applyFill="1" applyBorder="1" applyAlignment="1">
      <alignment horizontal="right" vertical="center"/>
    </xf>
    <xf numFmtId="165" fontId="16" fillId="44" borderId="16" xfId="0" quotePrefix="1" applyNumberFormat="1" applyFont="1" applyFill="1" applyBorder="1" applyAlignment="1">
      <alignment horizontal="right" vertical="center"/>
    </xf>
    <xf numFmtId="165" fontId="16" fillId="44" borderId="16" xfId="0" applyNumberFormat="1" applyFont="1" applyFill="1" applyBorder="1" applyAlignment="1">
      <alignment horizontal="right" vertical="center"/>
    </xf>
    <xf numFmtId="1" fontId="33" fillId="37" borderId="0" xfId="0" applyNumberFormat="1" applyFont="1" applyFill="1" applyAlignment="1">
      <alignment horizontal="center" vertical="center"/>
    </xf>
    <xf numFmtId="0" fontId="16" fillId="44" borderId="20" xfId="0" quotePrefix="1" applyFont="1" applyFill="1" applyBorder="1" applyAlignment="1">
      <alignment horizontal="center" vertical="center"/>
    </xf>
    <xf numFmtId="0" fontId="34" fillId="34" borderId="0" xfId="0" applyFont="1" applyFill="1" applyAlignment="1">
      <alignment horizontal="center" vertical="center"/>
    </xf>
    <xf numFmtId="0" fontId="16" fillId="44" borderId="21" xfId="0" applyFont="1" applyFill="1" applyBorder="1" applyAlignment="1">
      <alignment horizontal="center" vertical="center"/>
    </xf>
    <xf numFmtId="0" fontId="16" fillId="44" borderId="23" xfId="0" applyFont="1" applyFill="1" applyBorder="1" applyAlignment="1">
      <alignment horizontal="center" vertical="center"/>
    </xf>
    <xf numFmtId="0" fontId="16" fillId="44" borderId="24" xfId="0" applyFont="1" applyFill="1" applyBorder="1" applyAlignment="1">
      <alignment horizontal="center" vertical="center"/>
    </xf>
    <xf numFmtId="0" fontId="16" fillId="44" borderId="23" xfId="0" quotePrefix="1" applyFont="1" applyFill="1" applyBorder="1" applyAlignment="1">
      <alignment horizontal="center" vertical="center"/>
    </xf>
    <xf numFmtId="0" fontId="16" fillId="34" borderId="23" xfId="0" applyFont="1" applyFill="1" applyBorder="1" applyAlignment="1">
      <alignment horizontal="center" vertical="center"/>
    </xf>
    <xf numFmtId="0" fontId="16" fillId="34" borderId="16" xfId="0" applyFont="1" applyFill="1" applyBorder="1" applyAlignment="1">
      <alignment vertical="center"/>
    </xf>
    <xf numFmtId="0" fontId="34" fillId="34" borderId="23" xfId="0" applyFont="1" applyFill="1" applyBorder="1" applyAlignment="1">
      <alignment horizontal="center" vertical="center"/>
    </xf>
    <xf numFmtId="0" fontId="16" fillId="34" borderId="24" xfId="0" applyFont="1" applyFill="1" applyBorder="1" applyAlignment="1">
      <alignment horizontal="center" vertical="center"/>
    </xf>
    <xf numFmtId="0" fontId="16" fillId="34" borderId="11" xfId="0" applyFont="1" applyFill="1" applyBorder="1" applyAlignment="1">
      <alignment horizontal="center" vertical="center"/>
    </xf>
    <xf numFmtId="0" fontId="16" fillId="34" borderId="17" xfId="0" applyFont="1" applyFill="1" applyBorder="1" applyAlignment="1">
      <alignment vertical="center"/>
    </xf>
    <xf numFmtId="165" fontId="38" fillId="44" borderId="0" xfId="0" quotePrefix="1" applyNumberFormat="1" applyFont="1" applyFill="1" applyAlignment="1">
      <alignment horizontal="center" vertical="center"/>
    </xf>
    <xf numFmtId="165" fontId="38" fillId="44" borderId="0" xfId="0" applyNumberFormat="1" applyFont="1" applyFill="1" applyAlignment="1">
      <alignment horizontal="center" vertical="center"/>
    </xf>
    <xf numFmtId="165" fontId="38" fillId="44" borderId="11" xfId="0" quotePrefix="1" applyNumberFormat="1" applyFont="1" applyFill="1" applyBorder="1" applyAlignment="1">
      <alignment horizontal="center" vertical="center"/>
    </xf>
    <xf numFmtId="165" fontId="16" fillId="44" borderId="17" xfId="0" quotePrefix="1" applyNumberFormat="1" applyFont="1" applyFill="1" applyBorder="1" applyAlignment="1">
      <alignment horizontal="right" vertical="center"/>
    </xf>
    <xf numFmtId="0" fontId="16" fillId="34" borderId="21" xfId="0" applyFont="1" applyFill="1" applyBorder="1" applyAlignment="1">
      <alignment horizontal="center" vertical="center"/>
    </xf>
    <xf numFmtId="0" fontId="16" fillId="34" borderId="20" xfId="0" applyFont="1" applyFill="1" applyBorder="1" applyAlignment="1">
      <alignment horizontal="center" vertical="center"/>
    </xf>
    <xf numFmtId="0" fontId="16" fillId="34" borderId="22" xfId="0" applyFont="1" applyFill="1" applyBorder="1" applyAlignment="1">
      <alignment vertical="center"/>
    </xf>
    <xf numFmtId="0" fontId="16" fillId="34" borderId="0" xfId="0" applyFont="1" applyFill="1" applyAlignment="1">
      <alignment horizontal="center" vertical="center"/>
    </xf>
    <xf numFmtId="0" fontId="34" fillId="34" borderId="0" xfId="0" quotePrefix="1" applyFont="1" applyFill="1" applyAlignment="1">
      <alignment horizontal="center" vertical="center"/>
    </xf>
    <xf numFmtId="165" fontId="34" fillId="34" borderId="0" xfId="0" quotePrefix="1" applyNumberFormat="1" applyFont="1" applyFill="1" applyAlignment="1">
      <alignment horizontal="center" vertical="center"/>
    </xf>
    <xf numFmtId="0" fontId="16" fillId="34" borderId="0" xfId="0" quotePrefix="1" applyFont="1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52"/>
  <sheetViews>
    <sheetView workbookViewId="0">
      <selection activeCell="C14" sqref="C14"/>
    </sheetView>
  </sheetViews>
  <sheetFormatPr defaultColWidth="5.26953125" defaultRowHeight="14"/>
  <cols>
    <col min="1" max="1" width="13.7265625" style="2" bestFit="1" customWidth="1"/>
    <col min="2" max="3" width="5.1796875" style="2" bestFit="1" customWidth="1"/>
    <col min="4" max="5" width="3.81640625" style="2" bestFit="1" customWidth="1"/>
    <col min="6" max="6" width="17.81640625" style="2" bestFit="1" customWidth="1"/>
    <col min="7" max="8" width="3.81640625" style="2" bestFit="1" customWidth="1"/>
    <col min="9" max="102" width="5.26953125" style="65"/>
    <col min="103" max="16384" width="5.26953125" style="2"/>
  </cols>
  <sheetData>
    <row r="1" spans="1:102" s="3" customFormat="1">
      <c r="A1" s="67" t="s">
        <v>3</v>
      </c>
      <c r="B1" s="67">
        <f>100/Inputs!B30</f>
        <v>1.3333333333333333</v>
      </c>
      <c r="C1" s="67">
        <f>50/Inputs!B31</f>
        <v>12.5</v>
      </c>
      <c r="D1" s="67"/>
      <c r="E1" s="67"/>
      <c r="F1" s="67" t="s">
        <v>41</v>
      </c>
      <c r="G1" s="94">
        <f>Inputs!F33</f>
        <v>53</v>
      </c>
      <c r="H1" s="67"/>
    </row>
    <row r="2" spans="1:102" s="4" customFormat="1">
      <c r="A2" s="66">
        <v>1</v>
      </c>
      <c r="B2" s="66">
        <f>Inputs!F$2*$B$1</f>
        <v>13.333333333333332</v>
      </c>
      <c r="C2" s="66">
        <f>Inputs!F$3*$C$1</f>
        <v>-6.25</v>
      </c>
      <c r="D2" s="68">
        <f>Inputs!F$4</f>
        <v>2</v>
      </c>
      <c r="E2" s="68">
        <f>Inputs!F$7</f>
        <v>1</v>
      </c>
      <c r="F2" s="68">
        <f>Inputs!F$8</f>
        <v>0</v>
      </c>
      <c r="G2" s="68">
        <f>Inputs!F$5</f>
        <v>54</v>
      </c>
      <c r="H2" s="66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</row>
    <row r="3" spans="1:102" s="4" customFormat="1">
      <c r="A3" s="66">
        <v>2</v>
      </c>
      <c r="B3" s="66">
        <f>Inputs!G$2*$B$1</f>
        <v>61.333333333333329</v>
      </c>
      <c r="C3" s="66">
        <f>Inputs!G$3*$C$1</f>
        <v>0</v>
      </c>
      <c r="D3" s="68">
        <f>Inputs!G$4</f>
        <v>1</v>
      </c>
      <c r="E3" s="68">
        <f>Inputs!G$7</f>
        <v>0</v>
      </c>
      <c r="F3" s="68">
        <f>Inputs!G$8</f>
        <v>0</v>
      </c>
      <c r="G3" s="68">
        <f>Inputs!G$5</f>
        <v>52</v>
      </c>
      <c r="H3" s="66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</row>
    <row r="4" spans="1:102" s="4" customFormat="1">
      <c r="A4" s="66">
        <v>3</v>
      </c>
      <c r="B4" s="66">
        <f>Inputs!H$2*$B$1</f>
        <v>306.66666666666663</v>
      </c>
      <c r="C4" s="66">
        <f>Inputs!H$3*$C$1</f>
        <v>0</v>
      </c>
      <c r="D4" s="68">
        <f>Inputs!H$4</f>
        <v>1</v>
      </c>
      <c r="E4" s="68">
        <f>Inputs!H$7</f>
        <v>2</v>
      </c>
      <c r="F4" s="68">
        <f>Inputs!H$8</f>
        <v>18</v>
      </c>
      <c r="G4" s="68">
        <f>Inputs!H$5</f>
        <v>54</v>
      </c>
      <c r="H4" s="66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</row>
    <row r="5" spans="1:102" s="4" customFormat="1">
      <c r="A5" s="66">
        <v>4</v>
      </c>
      <c r="B5" s="66">
        <f>Inputs!I$2*$B$1</f>
        <v>194.66666666666666</v>
      </c>
      <c r="C5" s="66">
        <f>Inputs!I$3*$C$1</f>
        <v>0</v>
      </c>
      <c r="D5" s="68">
        <f>Inputs!I$4</f>
        <v>1</v>
      </c>
      <c r="E5" s="68">
        <f>Inputs!I$7</f>
        <v>0</v>
      </c>
      <c r="F5" s="68">
        <f>Inputs!I$8</f>
        <v>0</v>
      </c>
      <c r="G5" s="68">
        <f>Inputs!I$5</f>
        <v>52</v>
      </c>
      <c r="H5" s="66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</row>
    <row r="6" spans="1:102" s="4" customFormat="1">
      <c r="A6" s="66">
        <v>5</v>
      </c>
      <c r="B6" s="66">
        <f>Inputs!J$2*$B$1</f>
        <v>26.666666666666664</v>
      </c>
      <c r="C6" s="66">
        <f>Inputs!J$3*$C$1</f>
        <v>162.5</v>
      </c>
      <c r="D6" s="68">
        <f>Inputs!J$4</f>
        <v>2</v>
      </c>
      <c r="E6" s="68">
        <f>Inputs!J$7</f>
        <v>0</v>
      </c>
      <c r="F6" s="68">
        <f>Inputs!J$8</f>
        <v>16</v>
      </c>
      <c r="G6" s="68">
        <f>Inputs!J$5</f>
        <v>55</v>
      </c>
      <c r="H6" s="66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</row>
    <row r="7" spans="1:102" s="4" customFormat="1">
      <c r="A7" s="66">
        <v>6</v>
      </c>
      <c r="B7" s="66">
        <f>Inputs!K$2*$B$1</f>
        <v>50.666666666666664</v>
      </c>
      <c r="C7" s="66">
        <f>Inputs!K$3*$C$1</f>
        <v>0</v>
      </c>
      <c r="D7" s="68">
        <f>Inputs!K$4</f>
        <v>2</v>
      </c>
      <c r="E7" s="68">
        <f>Inputs!K$7</f>
        <v>0</v>
      </c>
      <c r="F7" s="68">
        <f>Inputs!K$8</f>
        <v>0</v>
      </c>
      <c r="G7" s="68">
        <f>Inputs!K$5</f>
        <v>52</v>
      </c>
      <c r="H7" s="66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</row>
    <row r="8" spans="1:102" s="4" customFormat="1">
      <c r="A8" s="66">
        <v>7</v>
      </c>
      <c r="B8" s="66">
        <f>Inputs!L$2*$B$1</f>
        <v>122.66666666666666</v>
      </c>
      <c r="C8" s="66">
        <f>Inputs!L$3*$C$1</f>
        <v>-162.5</v>
      </c>
      <c r="D8" s="68">
        <f>Inputs!L$4</f>
        <v>2</v>
      </c>
      <c r="E8" s="68">
        <f>Inputs!L$7</f>
        <v>0</v>
      </c>
      <c r="F8" s="68">
        <f>Inputs!L$8</f>
        <v>0</v>
      </c>
      <c r="G8" s="68">
        <f>Inputs!L$5</f>
        <v>53</v>
      </c>
      <c r="H8" s="66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</row>
    <row r="9" spans="1:102" s="4" customFormat="1">
      <c r="A9" s="66">
        <v>8</v>
      </c>
      <c r="B9" s="66">
        <f>Inputs!M$2*$B$1</f>
        <v>13.333333333333332</v>
      </c>
      <c r="C9" s="66">
        <f>Inputs!M$3*$C$1</f>
        <v>0</v>
      </c>
      <c r="D9" s="68">
        <f>Inputs!M$4</f>
        <v>1</v>
      </c>
      <c r="E9" s="68">
        <f>Inputs!M$7</f>
        <v>0</v>
      </c>
      <c r="F9" s="68">
        <f>Inputs!M$8</f>
        <v>0</v>
      </c>
      <c r="G9" s="68">
        <f>Inputs!M$5</f>
        <v>52</v>
      </c>
      <c r="H9" s="66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</row>
    <row r="10" spans="1:102" s="4" customFormat="1">
      <c r="A10" s="66">
        <v>9</v>
      </c>
      <c r="B10" s="66">
        <f>Inputs!N$2*$B$1</f>
        <v>0</v>
      </c>
      <c r="C10" s="66">
        <f>Inputs!N$3*$C$1</f>
        <v>0</v>
      </c>
      <c r="D10" s="68">
        <f>Inputs!N$4</f>
        <v>0</v>
      </c>
      <c r="E10" s="68">
        <f>Inputs!N$7</f>
        <v>0</v>
      </c>
      <c r="F10" s="68">
        <f>Inputs!N$8</f>
        <v>0</v>
      </c>
      <c r="G10" s="68">
        <f>Inputs!N$5</f>
        <v>0</v>
      </c>
      <c r="H10" s="66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</row>
    <row r="11" spans="1:102" s="4" customFormat="1">
      <c r="A11" s="66">
        <v>10</v>
      </c>
      <c r="B11" s="66">
        <f>Inputs!O$2*$B$1</f>
        <v>0</v>
      </c>
      <c r="C11" s="66">
        <f>Inputs!O$3*$C$1</f>
        <v>0</v>
      </c>
      <c r="D11" s="68">
        <f>Inputs!O$4</f>
        <v>0</v>
      </c>
      <c r="E11" s="68">
        <f>Inputs!O$7</f>
        <v>0</v>
      </c>
      <c r="F11" s="68">
        <f>Inputs!O$8</f>
        <v>0</v>
      </c>
      <c r="G11" s="68">
        <f>Inputs!O$5</f>
        <v>0</v>
      </c>
      <c r="H11" s="66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</row>
    <row r="12" spans="1:102" s="4" customFormat="1">
      <c r="A12" s="66">
        <v>11</v>
      </c>
      <c r="B12" s="66">
        <f>Inputs!P$2*$B$1</f>
        <v>0</v>
      </c>
      <c r="C12" s="66">
        <f>Inputs!P$3*$C$1</f>
        <v>0</v>
      </c>
      <c r="D12" s="68">
        <f>Inputs!P$4</f>
        <v>0</v>
      </c>
      <c r="E12" s="68">
        <f>Inputs!P$7</f>
        <v>0</v>
      </c>
      <c r="F12" s="68">
        <f>Inputs!KI$18</f>
        <v>0</v>
      </c>
      <c r="G12" s="68">
        <f>Inputs!P$5</f>
        <v>0</v>
      </c>
      <c r="H12" s="66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</row>
    <row r="13" spans="1:102" s="4" customFormat="1">
      <c r="A13" s="66">
        <v>12</v>
      </c>
      <c r="B13" s="66">
        <f>Inputs!Q$2*$B$1</f>
        <v>0</v>
      </c>
      <c r="C13" s="66">
        <f>Inputs!Q$3*$C$1</f>
        <v>0</v>
      </c>
      <c r="D13" s="68">
        <f>Inputs!LI$13</f>
        <v>0</v>
      </c>
      <c r="E13" s="68">
        <f>Inputs!Q$7</f>
        <v>0</v>
      </c>
      <c r="F13" s="68">
        <f>Inputs!Q$8</f>
        <v>0</v>
      </c>
      <c r="G13" s="68">
        <f>Inputs!Q$5</f>
        <v>0</v>
      </c>
      <c r="H13" s="66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</row>
    <row r="14" spans="1:102" s="4" customFormat="1">
      <c r="A14" s="66">
        <v>13</v>
      </c>
      <c r="B14" s="66">
        <f>Inputs!R$2*$B$1</f>
        <v>0</v>
      </c>
      <c r="C14" s="66">
        <f>Inputs!R$3*$C$1</f>
        <v>0</v>
      </c>
      <c r="D14" s="68">
        <f>Inputs!R$4</f>
        <v>0</v>
      </c>
      <c r="E14" s="68">
        <f>Inputs!R$7</f>
        <v>0</v>
      </c>
      <c r="F14" s="68">
        <f>Inputs!R$8</f>
        <v>0</v>
      </c>
      <c r="G14" s="68">
        <f>Inputs!R$5</f>
        <v>0</v>
      </c>
      <c r="H14" s="66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</row>
    <row r="15" spans="1:102" s="4" customFormat="1">
      <c r="A15" s="66">
        <v>14</v>
      </c>
      <c r="B15" s="66">
        <f>Inputs!S$2*$B$1</f>
        <v>0</v>
      </c>
      <c r="C15" s="66">
        <f>Inputs!S$3*$C$1</f>
        <v>0</v>
      </c>
      <c r="D15" s="68">
        <f>Inputs!S$4</f>
        <v>0</v>
      </c>
      <c r="E15" s="68">
        <f>Inputs!S$7</f>
        <v>0</v>
      </c>
      <c r="F15" s="68">
        <f>Inputs!S$8</f>
        <v>0</v>
      </c>
      <c r="G15" s="68">
        <f>Inputs!S$5</f>
        <v>0</v>
      </c>
      <c r="H15" s="66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</row>
    <row r="16" spans="1:102" s="4" customFormat="1">
      <c r="A16" s="66">
        <v>15</v>
      </c>
      <c r="B16" s="66">
        <f>Inputs!T$2*$B$1</f>
        <v>0</v>
      </c>
      <c r="C16" s="66">
        <f>Inputs!T$3*$C$1</f>
        <v>0</v>
      </c>
      <c r="D16" s="68">
        <f>Inputs!T$4</f>
        <v>0</v>
      </c>
      <c r="E16" s="68">
        <f>Inputs!T$7</f>
        <v>0</v>
      </c>
      <c r="F16" s="68">
        <f>Inputs!T$8</f>
        <v>0</v>
      </c>
      <c r="G16" s="68">
        <f>Inputs!T$5</f>
        <v>0</v>
      </c>
      <c r="H16" s="66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</row>
    <row r="17" spans="1:102" s="4" customFormat="1">
      <c r="A17" s="66">
        <v>16</v>
      </c>
      <c r="B17" s="66">
        <f>Inputs!U$2*$B$1</f>
        <v>0</v>
      </c>
      <c r="C17" s="66">
        <f>Inputs!U$3*$C$1</f>
        <v>0</v>
      </c>
      <c r="D17" s="68">
        <f>Inputs!U$4</f>
        <v>0</v>
      </c>
      <c r="E17" s="68">
        <f>Inputs!U$7</f>
        <v>0</v>
      </c>
      <c r="F17" s="68">
        <f>Inputs!U$8</f>
        <v>0</v>
      </c>
      <c r="G17" s="68">
        <f>Inputs!U$5</f>
        <v>0</v>
      </c>
      <c r="H17" s="66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</row>
    <row r="18" spans="1:102" s="4" customFormat="1">
      <c r="A18" s="66">
        <v>17</v>
      </c>
      <c r="B18" s="66">
        <f>Inputs!V$2*$B$1</f>
        <v>0</v>
      </c>
      <c r="C18" s="66">
        <f>Inputs!V$3*$C$1</f>
        <v>0</v>
      </c>
      <c r="D18" s="68">
        <f>Inputs!V$4</f>
        <v>0</v>
      </c>
      <c r="E18" s="68">
        <f>Inputs!V$7</f>
        <v>0</v>
      </c>
      <c r="F18" s="68">
        <f>Inputs!V$8</f>
        <v>0</v>
      </c>
      <c r="G18" s="68">
        <f>Inputs!V$5</f>
        <v>0</v>
      </c>
      <c r="H18" s="66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</row>
    <row r="19" spans="1:102" s="4" customFormat="1">
      <c r="A19" s="66">
        <v>18</v>
      </c>
      <c r="B19" s="66">
        <f>Inputs!W$2*$B$1</f>
        <v>0</v>
      </c>
      <c r="C19" s="66">
        <f>Inputs!W$3*$C$1</f>
        <v>0</v>
      </c>
      <c r="D19" s="68">
        <f>Inputs!W$4</f>
        <v>0</v>
      </c>
      <c r="E19" s="68">
        <f>Inputs!W$7</f>
        <v>0</v>
      </c>
      <c r="F19" s="68">
        <f>Inputs!W$8</f>
        <v>0</v>
      </c>
      <c r="G19" s="68">
        <f>Inputs!RI$42</f>
        <v>0</v>
      </c>
      <c r="H19" s="66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</row>
    <row r="20" spans="1:102" s="4" customFormat="1">
      <c r="A20" s="66">
        <v>19</v>
      </c>
      <c r="B20" s="66">
        <f>Inputs!X$2*$B$1</f>
        <v>0</v>
      </c>
      <c r="C20" s="66">
        <f>Inputs!X$3*$C$1</f>
        <v>0</v>
      </c>
      <c r="D20" s="68">
        <f>Inputs!X$4</f>
        <v>0</v>
      </c>
      <c r="E20" s="68">
        <f>Inputs!X$7</f>
        <v>0</v>
      </c>
      <c r="F20" s="68">
        <f>Inputs!X$8</f>
        <v>0</v>
      </c>
      <c r="G20" s="68">
        <f>Inputs!X$5</f>
        <v>0</v>
      </c>
      <c r="H20" s="66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</row>
    <row r="21" spans="1:102" s="4" customFormat="1">
      <c r="A21" s="66">
        <v>20</v>
      </c>
      <c r="B21" s="66">
        <f>Inputs!Y$2*$B$1</f>
        <v>0</v>
      </c>
      <c r="C21" s="66">
        <f>Inputs!Y$3*$C$1</f>
        <v>0</v>
      </c>
      <c r="D21" s="68">
        <f>Inputs!Y$4</f>
        <v>0</v>
      </c>
      <c r="E21" s="68">
        <f>Inputs!Y$7</f>
        <v>0</v>
      </c>
      <c r="F21" s="68">
        <f>Inputs!Y$8</f>
        <v>0</v>
      </c>
      <c r="G21" s="68">
        <f>Inputs!Y$5</f>
        <v>0</v>
      </c>
      <c r="H21" s="66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</row>
    <row r="22" spans="1:102" s="4" customFormat="1">
      <c r="A22" s="66">
        <v>21</v>
      </c>
      <c r="B22" s="66">
        <f>Inputs!Z$2*$B$1</f>
        <v>0</v>
      </c>
      <c r="C22" s="66">
        <f>Inputs!Z$3*$C$1</f>
        <v>0</v>
      </c>
      <c r="D22" s="68">
        <f>Inputs!Z$4</f>
        <v>0</v>
      </c>
      <c r="E22" s="68">
        <f>Inputs!Z$7</f>
        <v>0</v>
      </c>
      <c r="F22" s="68">
        <f>Inputs!Z$8</f>
        <v>0</v>
      </c>
      <c r="G22" s="68">
        <f>Inputs!Z$5</f>
        <v>0</v>
      </c>
      <c r="H22" s="66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</row>
    <row r="23" spans="1:102" s="4" customFormat="1">
      <c r="A23" s="66">
        <v>22</v>
      </c>
      <c r="B23" s="66">
        <f>Inputs!AA$2*$B$1</f>
        <v>0</v>
      </c>
      <c r="C23" s="66">
        <f>Inputs!AA$3*$C$1</f>
        <v>0</v>
      </c>
      <c r="D23" s="68">
        <f>Inputs!AA$4</f>
        <v>0</v>
      </c>
      <c r="E23" s="68">
        <f>Inputs!AA$7</f>
        <v>0</v>
      </c>
      <c r="F23" s="68">
        <f>Inputs!AA$8</f>
        <v>0</v>
      </c>
      <c r="G23" s="68">
        <f>Inputs!AA$5</f>
        <v>0</v>
      </c>
      <c r="H23" s="66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</row>
    <row r="24" spans="1:102" s="4" customFormat="1">
      <c r="A24" s="66">
        <v>23</v>
      </c>
      <c r="B24" s="66">
        <f>Inputs!AB$2*$B$1</f>
        <v>0</v>
      </c>
      <c r="C24" s="66">
        <f>Inputs!AB$3*$C$1</f>
        <v>0</v>
      </c>
      <c r="D24" s="68">
        <f>Inputs!AB$4</f>
        <v>0</v>
      </c>
      <c r="E24" s="68">
        <f>Inputs!AB$7</f>
        <v>0</v>
      </c>
      <c r="F24" s="68">
        <f>Inputs!WI$18</f>
        <v>0</v>
      </c>
      <c r="G24" s="68">
        <f>Inputs!AB$5</f>
        <v>0</v>
      </c>
      <c r="H24" s="66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</row>
    <row r="25" spans="1:102" s="4" customFormat="1">
      <c r="A25" s="66">
        <v>24</v>
      </c>
      <c r="B25" s="66">
        <f>Inputs!AC$2*$B$1</f>
        <v>0</v>
      </c>
      <c r="C25" s="66">
        <f>Inputs!AC$3*$C$1</f>
        <v>0</v>
      </c>
      <c r="D25" s="68">
        <f>Inputs!AC$4</f>
        <v>0</v>
      </c>
      <c r="E25" s="68">
        <f>Inputs!AC$7</f>
        <v>0</v>
      </c>
      <c r="F25" s="68">
        <f>Inputs!XI$18</f>
        <v>0</v>
      </c>
      <c r="G25" s="68">
        <f>Inputs!AC$5</f>
        <v>0</v>
      </c>
      <c r="H25" s="66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</row>
    <row r="26" spans="1:102" s="4" customFormat="1">
      <c r="A26" s="66">
        <v>25</v>
      </c>
      <c r="B26" s="66">
        <f>Inputs!AD$2*$B$1</f>
        <v>0</v>
      </c>
      <c r="C26" s="66">
        <f>Inputs!AD$3*$C$1</f>
        <v>0</v>
      </c>
      <c r="D26" s="68">
        <f>Inputs!YI$13</f>
        <v>0</v>
      </c>
      <c r="E26" s="68">
        <f>Inputs!AD$7</f>
        <v>0</v>
      </c>
      <c r="F26" s="68">
        <f>Inputs!AD$8</f>
        <v>0</v>
      </c>
      <c r="G26" s="68">
        <f>Inputs!AD$5</f>
        <v>0</v>
      </c>
      <c r="H26" s="66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</row>
    <row r="27" spans="1:102" s="4" customFormat="1">
      <c r="A27" s="66">
        <v>26</v>
      </c>
      <c r="B27" s="66">
        <f>Inputs!AE$2*$B$1</f>
        <v>0</v>
      </c>
      <c r="C27" s="66">
        <f>Inputs!AE$3*$C$1</f>
        <v>0</v>
      </c>
      <c r="D27" s="68">
        <f>Inputs!AE$4</f>
        <v>0</v>
      </c>
      <c r="E27" s="68">
        <f>Inputs!AE$7</f>
        <v>0</v>
      </c>
      <c r="F27" s="68">
        <f>Inputs!AE$8</f>
        <v>0</v>
      </c>
      <c r="G27" s="68">
        <f>Inputs!AE$5</f>
        <v>0</v>
      </c>
      <c r="H27" s="66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</row>
    <row r="28" spans="1:102" s="4" customFormat="1">
      <c r="A28" s="66">
        <v>27</v>
      </c>
      <c r="B28" s="66">
        <f>Inputs!AF$2*$B$1</f>
        <v>0</v>
      </c>
      <c r="C28" s="66">
        <f>Inputs!AF$3*$C$1</f>
        <v>0</v>
      </c>
      <c r="D28" s="68">
        <f>Inputs!AF$4</f>
        <v>0</v>
      </c>
      <c r="E28" s="68">
        <f>Inputs!AF$7</f>
        <v>0</v>
      </c>
      <c r="F28" s="68">
        <f>Inputs!AF$8</f>
        <v>0</v>
      </c>
      <c r="G28" s="68">
        <f>Inputs!AF$5</f>
        <v>0</v>
      </c>
      <c r="H28" s="66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</row>
    <row r="29" spans="1:102" s="4" customFormat="1">
      <c r="A29" s="66">
        <v>28</v>
      </c>
      <c r="B29" s="66">
        <f>Inputs!AG$2*$B$1</f>
        <v>0</v>
      </c>
      <c r="C29" s="66">
        <f>Inputs!AG$3*$C$1</f>
        <v>0</v>
      </c>
      <c r="D29" s="68">
        <f>Inputs!D$4</f>
        <v>0</v>
      </c>
      <c r="E29" s="68">
        <f>Inputs!AG$7</f>
        <v>0</v>
      </c>
      <c r="F29" s="68">
        <f>Inputs!AG$8</f>
        <v>0</v>
      </c>
      <c r="G29" s="68">
        <f>Inputs!AG$5</f>
        <v>0</v>
      </c>
      <c r="H29" s="66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</row>
    <row r="30" spans="1:102" s="4" customFormat="1">
      <c r="A30" s="66">
        <v>29</v>
      </c>
      <c r="B30" s="66">
        <f>Inputs!AH$2*$B$1</f>
        <v>0</v>
      </c>
      <c r="C30" s="66">
        <f>Inputs!ACI$12*$C$1</f>
        <v>0</v>
      </c>
      <c r="D30" s="68">
        <f>Inputs!AH$4</f>
        <v>0</v>
      </c>
      <c r="E30" s="68">
        <f>Inputs!AH$7</f>
        <v>0</v>
      </c>
      <c r="F30" s="68">
        <f>Inputs!AH$8</f>
        <v>0</v>
      </c>
      <c r="G30" s="68">
        <f>Inputs!AH$5</f>
        <v>0</v>
      </c>
      <c r="H30" s="66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</row>
    <row r="31" spans="1:102" s="3" customFormat="1">
      <c r="A31" s="67" t="s">
        <v>37</v>
      </c>
      <c r="B31" s="67">
        <f>SUM(B2:B30)/B1</f>
        <v>591.99999999999989</v>
      </c>
      <c r="C31" s="67">
        <f>SUM(C2:C30)/C1</f>
        <v>-0.5</v>
      </c>
      <c r="D31" s="67"/>
      <c r="E31" s="67"/>
      <c r="F31" s="67"/>
      <c r="G31" s="67"/>
      <c r="H31" s="67"/>
    </row>
    <row r="32" spans="1:102" s="3" customFormat="1" ht="17.25" customHeight="1">
      <c r="A32" s="67" t="str">
        <f>IF(Inputs!A9="","",Inputs!A9)</f>
        <v>GF</v>
      </c>
      <c r="B32" s="67" t="str">
        <f>IF(Inputs!A8="","",Inputs!A8)</f>
        <v>L1</v>
      </c>
      <c r="C32" s="67" t="str">
        <f>IF(Inputs!A7="","",Inputs!A7)</f>
        <v/>
      </c>
      <c r="D32" s="67" t="str">
        <f>IF(Inputs!A6="","",Inputs!A6)</f>
        <v/>
      </c>
      <c r="E32" s="67" t="str">
        <f>IF(Inputs!A5="","",Inputs!A5)</f>
        <v/>
      </c>
      <c r="F32" s="67" t="str">
        <f>IF(Inputs!A4="","",Inputs!A4)</f>
        <v/>
      </c>
      <c r="G32" s="67" t="str">
        <f>IF(Inputs!A3="","",Inputs!A3)</f>
        <v/>
      </c>
      <c r="H32" s="67" t="str">
        <f>IF(Inputs!A2="","",Inputs!A2)</f>
        <v/>
      </c>
    </row>
    <row r="33" spans="1:102" s="4" customFormat="1">
      <c r="A33" s="66">
        <f>Inputs!B9</f>
        <v>0.5</v>
      </c>
      <c r="B33" s="66">
        <f>Inputs!B8</f>
        <v>13</v>
      </c>
      <c r="C33" s="66">
        <f>Inputs!B7</f>
        <v>0</v>
      </c>
      <c r="D33" s="66">
        <f>Inputs!B6</f>
        <v>0</v>
      </c>
      <c r="E33" s="66">
        <f>Inputs!B5</f>
        <v>0</v>
      </c>
      <c r="F33" s="66">
        <f>Inputs!B4</f>
        <v>0</v>
      </c>
      <c r="G33" s="66">
        <f>Inputs!B3</f>
        <v>0</v>
      </c>
      <c r="H33" s="66">
        <f>Inputs!B2</f>
        <v>0</v>
      </c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</row>
    <row r="34" spans="1:102" s="6" customForma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</row>
    <row r="35" spans="1:102" s="6" customForma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</row>
    <row r="36" spans="1:102" s="6" customForma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</row>
    <row r="37" spans="1:102" s="6" customForma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</row>
    <row r="38" spans="1:102" s="6" customForma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</row>
    <row r="39" spans="1:102" s="6" customForma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</row>
    <row r="40" spans="1:102" s="6" customForma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</row>
    <row r="41" spans="1:102" s="6" customForma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</row>
    <row r="42" spans="1:102" s="6" customForma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</row>
    <row r="43" spans="1:102" s="6" customForma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5"/>
      <c r="CF43" s="65"/>
      <c r="CG43" s="65"/>
      <c r="CH43" s="65"/>
      <c r="CI43" s="65"/>
      <c r="CJ43" s="65"/>
      <c r="CK43" s="65"/>
      <c r="CL43" s="65"/>
      <c r="CM43" s="65"/>
      <c r="CN43" s="65"/>
      <c r="CO43" s="65"/>
      <c r="CP43" s="65"/>
      <c r="CQ43" s="65"/>
      <c r="CR43" s="65"/>
      <c r="CS43" s="65"/>
      <c r="CT43" s="65"/>
      <c r="CU43" s="65"/>
      <c r="CV43" s="65"/>
      <c r="CW43" s="65"/>
      <c r="CX43" s="65"/>
    </row>
    <row r="44" spans="1:102" s="6" customForma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65"/>
      <c r="CQ44" s="65"/>
      <c r="CR44" s="65"/>
      <c r="CS44" s="65"/>
      <c r="CT44" s="65"/>
      <c r="CU44" s="65"/>
      <c r="CV44" s="65"/>
      <c r="CW44" s="65"/>
      <c r="CX44" s="65"/>
    </row>
    <row r="45" spans="1:102" s="6" customForma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/>
      <c r="CB45" s="65"/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5"/>
      <c r="CN45" s="65"/>
      <c r="CO45" s="65"/>
      <c r="CP45" s="65"/>
      <c r="CQ45" s="65"/>
      <c r="CR45" s="65"/>
      <c r="CS45" s="65"/>
      <c r="CT45" s="65"/>
      <c r="CU45" s="65"/>
      <c r="CV45" s="65"/>
      <c r="CW45" s="65"/>
      <c r="CX45" s="65"/>
    </row>
    <row r="46" spans="1:102" s="6" customForma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5"/>
      <c r="CG46" s="65"/>
      <c r="CH46" s="65"/>
      <c r="CI46" s="65"/>
      <c r="CJ46" s="65"/>
      <c r="CK46" s="65"/>
      <c r="CL46" s="65"/>
      <c r="CM46" s="65"/>
      <c r="CN46" s="65"/>
      <c r="CO46" s="65"/>
      <c r="CP46" s="65"/>
      <c r="CQ46" s="65"/>
      <c r="CR46" s="65"/>
      <c r="CS46" s="65"/>
      <c r="CT46" s="65"/>
      <c r="CU46" s="65"/>
      <c r="CV46" s="65"/>
      <c r="CW46" s="65"/>
      <c r="CX46" s="65"/>
    </row>
    <row r="47" spans="1:102" s="6" customForma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/>
      <c r="CB47" s="65"/>
      <c r="CC47" s="65"/>
      <c r="CD47" s="65"/>
      <c r="CE47" s="65"/>
      <c r="CF47" s="65"/>
      <c r="CG47" s="65"/>
      <c r="CH47" s="65"/>
      <c r="CI47" s="65"/>
      <c r="CJ47" s="65"/>
      <c r="CK47" s="65"/>
      <c r="CL47" s="65"/>
      <c r="CM47" s="65"/>
      <c r="CN47" s="65"/>
      <c r="CO47" s="65"/>
      <c r="CP47" s="65"/>
      <c r="CQ47" s="65"/>
      <c r="CR47" s="65"/>
      <c r="CS47" s="65"/>
      <c r="CT47" s="65"/>
      <c r="CU47" s="65"/>
      <c r="CV47" s="65"/>
      <c r="CW47" s="65"/>
      <c r="CX47" s="65"/>
    </row>
    <row r="48" spans="1:102" s="6" customForma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</row>
    <row r="49" spans="1:102" s="6" customForma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  <c r="CW49" s="65"/>
      <c r="CX49" s="65"/>
    </row>
    <row r="50" spans="1:102" s="6" customForma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/>
      <c r="CK50" s="65"/>
      <c r="CL50" s="65"/>
      <c r="CM50" s="65"/>
      <c r="CN50" s="65"/>
      <c r="CO50" s="65"/>
      <c r="CP50" s="65"/>
      <c r="CQ50" s="65"/>
      <c r="CR50" s="65"/>
      <c r="CS50" s="65"/>
      <c r="CT50" s="65"/>
      <c r="CU50" s="65"/>
      <c r="CV50" s="65"/>
      <c r="CW50" s="65"/>
      <c r="CX50" s="65"/>
    </row>
    <row r="51" spans="1:102" s="6" customForma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5"/>
      <c r="CN51" s="65"/>
      <c r="CO51" s="65"/>
      <c r="CP51" s="65"/>
      <c r="CQ51" s="65"/>
      <c r="CR51" s="65"/>
      <c r="CS51" s="65"/>
      <c r="CT51" s="65"/>
      <c r="CU51" s="65"/>
      <c r="CV51" s="65"/>
      <c r="CW51" s="65"/>
      <c r="CX51" s="65"/>
    </row>
    <row r="52" spans="1:102" s="6" customForma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5"/>
      <c r="CF52" s="65"/>
      <c r="CG52" s="65"/>
      <c r="CH52" s="65"/>
      <c r="CI52" s="65"/>
      <c r="CJ52" s="65"/>
      <c r="CK52" s="65"/>
      <c r="CL52" s="65"/>
      <c r="CM52" s="65"/>
      <c r="CN52" s="65"/>
      <c r="CO52" s="65"/>
      <c r="CP52" s="65"/>
      <c r="CQ52" s="65"/>
      <c r="CR52" s="65"/>
      <c r="CS52" s="65"/>
      <c r="CT52" s="65"/>
      <c r="CU52" s="65"/>
      <c r="CV52" s="65"/>
      <c r="CW52" s="65"/>
      <c r="CX52" s="65"/>
    </row>
    <row r="53" spans="1:102" s="6" customForma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  <c r="CO53" s="65"/>
      <c r="CP53" s="65"/>
      <c r="CQ53" s="65"/>
      <c r="CR53" s="65"/>
      <c r="CS53" s="65"/>
      <c r="CT53" s="65"/>
      <c r="CU53" s="65"/>
      <c r="CV53" s="65"/>
      <c r="CW53" s="65"/>
      <c r="CX53" s="65"/>
    </row>
    <row r="54" spans="1:102" s="6" customForma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</row>
    <row r="55" spans="1:102" s="6" customForma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T55" s="65"/>
      <c r="CU55" s="65"/>
      <c r="CV55" s="65"/>
      <c r="CW55" s="65"/>
      <c r="CX55" s="65"/>
    </row>
    <row r="56" spans="1:102" s="6" customForma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  <c r="CO56" s="65"/>
      <c r="CP56" s="65"/>
      <c r="CQ56" s="65"/>
      <c r="CR56" s="65"/>
      <c r="CS56" s="65"/>
      <c r="CT56" s="65"/>
      <c r="CU56" s="65"/>
      <c r="CV56" s="65"/>
      <c r="CW56" s="65"/>
      <c r="CX56" s="65"/>
    </row>
    <row r="57" spans="1:102" s="6" customForma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  <c r="CO57" s="65"/>
      <c r="CP57" s="65"/>
      <c r="CQ57" s="65"/>
      <c r="CR57" s="65"/>
      <c r="CS57" s="65"/>
      <c r="CT57" s="65"/>
      <c r="CU57" s="65"/>
      <c r="CV57" s="65"/>
      <c r="CW57" s="65"/>
      <c r="CX57" s="65"/>
    </row>
    <row r="58" spans="1:102" s="6" customForma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  <c r="CO58" s="65"/>
      <c r="CP58" s="65"/>
      <c r="CQ58" s="65"/>
      <c r="CR58" s="65"/>
      <c r="CS58" s="65"/>
      <c r="CT58" s="65"/>
      <c r="CU58" s="65"/>
      <c r="CV58" s="65"/>
      <c r="CW58" s="65"/>
      <c r="CX58" s="65"/>
    </row>
    <row r="59" spans="1:102" s="6" customForma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5"/>
      <c r="CQ59" s="65"/>
      <c r="CR59" s="65"/>
      <c r="CS59" s="65"/>
      <c r="CT59" s="65"/>
      <c r="CU59" s="65"/>
      <c r="CV59" s="65"/>
      <c r="CW59" s="65"/>
      <c r="CX59" s="65"/>
    </row>
    <row r="60" spans="1:102" s="6" customForma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</row>
    <row r="61" spans="1:102" s="6" customForma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5"/>
      <c r="CR61" s="65"/>
      <c r="CS61" s="65"/>
      <c r="CT61" s="65"/>
      <c r="CU61" s="65"/>
      <c r="CV61" s="65"/>
      <c r="CW61" s="65"/>
      <c r="CX61" s="65"/>
    </row>
    <row r="62" spans="1:102" s="6" customForma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65"/>
    </row>
    <row r="63" spans="1:102" s="6" customForma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65"/>
    </row>
    <row r="64" spans="1:102" s="6" customForma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5"/>
      <c r="CF64" s="65"/>
      <c r="CG64" s="65"/>
      <c r="CH64" s="65"/>
      <c r="CI64" s="65"/>
      <c r="CJ64" s="65"/>
      <c r="CK64" s="65"/>
      <c r="CL64" s="65"/>
      <c r="CM64" s="65"/>
      <c r="CN64" s="65"/>
      <c r="CO64" s="65"/>
      <c r="CP64" s="65"/>
      <c r="CQ64" s="65"/>
      <c r="CR64" s="65"/>
      <c r="CS64" s="65"/>
      <c r="CT64" s="65"/>
      <c r="CU64" s="65"/>
      <c r="CV64" s="65"/>
      <c r="CW64" s="65"/>
      <c r="CX64" s="65"/>
    </row>
    <row r="65" spans="1:102" s="6" customForma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/>
      <c r="CB65" s="65"/>
      <c r="CC65" s="65"/>
      <c r="CD65" s="65"/>
      <c r="CE65" s="65"/>
      <c r="CF65" s="65"/>
      <c r="CG65" s="65"/>
      <c r="CH65" s="65"/>
      <c r="CI65" s="65"/>
      <c r="CJ65" s="65"/>
      <c r="CK65" s="65"/>
      <c r="CL65" s="65"/>
      <c r="CM65" s="65"/>
      <c r="CN65" s="65"/>
      <c r="CO65" s="65"/>
      <c r="CP65" s="65"/>
      <c r="CQ65" s="65"/>
      <c r="CR65" s="65"/>
      <c r="CS65" s="65"/>
      <c r="CT65" s="65"/>
      <c r="CU65" s="65"/>
      <c r="CV65" s="65"/>
      <c r="CW65" s="65"/>
      <c r="CX65" s="65"/>
    </row>
    <row r="66" spans="1:102" s="6" customForma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5"/>
      <c r="CG66" s="65"/>
      <c r="CH66" s="65"/>
      <c r="CI66" s="65"/>
      <c r="CJ66" s="65"/>
      <c r="CK66" s="65"/>
      <c r="CL66" s="65"/>
      <c r="CM66" s="65"/>
      <c r="CN66" s="65"/>
      <c r="CO66" s="65"/>
      <c r="CP66" s="65"/>
      <c r="CQ66" s="65"/>
      <c r="CR66" s="65"/>
      <c r="CS66" s="65"/>
      <c r="CT66" s="65"/>
      <c r="CU66" s="65"/>
      <c r="CV66" s="65"/>
      <c r="CW66" s="65"/>
      <c r="CX66" s="65"/>
    </row>
    <row r="67" spans="1:102" s="6" customForma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/>
      <c r="CB67" s="65"/>
      <c r="CC67" s="65"/>
      <c r="CD67" s="65"/>
      <c r="CE67" s="65"/>
      <c r="CF67" s="65"/>
      <c r="CG67" s="65"/>
      <c r="CH67" s="65"/>
      <c r="CI67" s="65"/>
      <c r="CJ67" s="65"/>
      <c r="CK67" s="65"/>
      <c r="CL67" s="65"/>
      <c r="CM67" s="65"/>
      <c r="CN67" s="65"/>
      <c r="CO67" s="65"/>
      <c r="CP67" s="65"/>
      <c r="CQ67" s="65"/>
      <c r="CR67" s="65"/>
      <c r="CS67" s="65"/>
      <c r="CT67" s="65"/>
      <c r="CU67" s="65"/>
      <c r="CV67" s="65"/>
      <c r="CW67" s="65"/>
      <c r="CX67" s="65"/>
    </row>
    <row r="68" spans="1:102" s="6" customForma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/>
      <c r="CB68" s="65"/>
      <c r="CC68" s="65"/>
      <c r="CD68" s="65"/>
      <c r="CE68" s="65"/>
      <c r="CF68" s="65"/>
      <c r="CG68" s="65"/>
      <c r="CH68" s="65"/>
      <c r="CI68" s="65"/>
      <c r="CJ68" s="65"/>
      <c r="CK68" s="65"/>
      <c r="CL68" s="65"/>
      <c r="CM68" s="65"/>
      <c r="CN68" s="65"/>
      <c r="CO68" s="65"/>
      <c r="CP68" s="65"/>
      <c r="CQ68" s="65"/>
      <c r="CR68" s="65"/>
      <c r="CS68" s="65"/>
      <c r="CT68" s="65"/>
      <c r="CU68" s="65"/>
      <c r="CV68" s="65"/>
      <c r="CW68" s="65"/>
      <c r="CX68" s="65"/>
    </row>
    <row r="69" spans="1:102" s="6" customForma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/>
      <c r="CB69" s="65"/>
      <c r="CC69" s="65"/>
      <c r="CD69" s="65"/>
      <c r="CE69" s="65"/>
      <c r="CF69" s="65"/>
      <c r="CG69" s="65"/>
      <c r="CH69" s="65"/>
      <c r="CI69" s="65"/>
      <c r="CJ69" s="65"/>
      <c r="CK69" s="65"/>
      <c r="CL69" s="65"/>
      <c r="CM69" s="65"/>
      <c r="CN69" s="65"/>
      <c r="CO69" s="65"/>
      <c r="CP69" s="65"/>
      <c r="CQ69" s="65"/>
      <c r="CR69" s="65"/>
      <c r="CS69" s="65"/>
      <c r="CT69" s="65"/>
      <c r="CU69" s="65"/>
      <c r="CV69" s="65"/>
      <c r="CW69" s="65"/>
      <c r="CX69" s="65"/>
    </row>
    <row r="70" spans="1:102" s="6" customForma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/>
      <c r="CP70" s="65"/>
      <c r="CQ70" s="65"/>
      <c r="CR70" s="65"/>
      <c r="CS70" s="65"/>
      <c r="CT70" s="65"/>
      <c r="CU70" s="65"/>
      <c r="CV70" s="65"/>
      <c r="CW70" s="65"/>
      <c r="CX70" s="65"/>
    </row>
    <row r="71" spans="1:102" s="6" customForma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/>
      <c r="CB71" s="65"/>
      <c r="CC71" s="65"/>
      <c r="CD71" s="65"/>
      <c r="CE71" s="65"/>
      <c r="CF71" s="65"/>
      <c r="CG71" s="65"/>
      <c r="CH71" s="65"/>
      <c r="CI71" s="65"/>
      <c r="CJ71" s="65"/>
      <c r="CK71" s="65"/>
      <c r="CL71" s="65"/>
      <c r="CM71" s="65"/>
      <c r="CN71" s="65"/>
      <c r="CO71" s="65"/>
      <c r="CP71" s="65"/>
      <c r="CQ71" s="65"/>
      <c r="CR71" s="65"/>
      <c r="CS71" s="65"/>
      <c r="CT71" s="65"/>
      <c r="CU71" s="65"/>
      <c r="CV71" s="65"/>
      <c r="CW71" s="65"/>
      <c r="CX71" s="65"/>
    </row>
    <row r="72" spans="1:102" s="6" customForma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/>
      <c r="CB72" s="65"/>
      <c r="CC72" s="65"/>
      <c r="CD72" s="65"/>
      <c r="CE72" s="65"/>
      <c r="CF72" s="65"/>
      <c r="CG72" s="65"/>
      <c r="CH72" s="65"/>
      <c r="CI72" s="65"/>
      <c r="CJ72" s="65"/>
      <c r="CK72" s="65"/>
      <c r="CL72" s="65"/>
      <c r="CM72" s="65"/>
      <c r="CN72" s="65"/>
      <c r="CO72" s="65"/>
      <c r="CP72" s="65"/>
      <c r="CQ72" s="65"/>
      <c r="CR72" s="65"/>
      <c r="CS72" s="65"/>
      <c r="CT72" s="65"/>
      <c r="CU72" s="65"/>
      <c r="CV72" s="65"/>
      <c r="CW72" s="65"/>
      <c r="CX72" s="65"/>
    </row>
    <row r="73" spans="1:102" s="6" customForma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65"/>
      <c r="BU73" s="65"/>
      <c r="BV73" s="65"/>
      <c r="BW73" s="65"/>
      <c r="BX73" s="65"/>
      <c r="BY73" s="65"/>
      <c r="BZ73" s="65"/>
      <c r="CA73" s="65"/>
      <c r="CB73" s="65"/>
      <c r="CC73" s="65"/>
      <c r="CD73" s="65"/>
      <c r="CE73" s="65"/>
      <c r="CF73" s="65"/>
      <c r="CG73" s="65"/>
      <c r="CH73" s="65"/>
      <c r="CI73" s="65"/>
      <c r="CJ73" s="65"/>
      <c r="CK73" s="65"/>
      <c r="CL73" s="65"/>
      <c r="CM73" s="65"/>
      <c r="CN73" s="65"/>
      <c r="CO73" s="65"/>
      <c r="CP73" s="65"/>
      <c r="CQ73" s="65"/>
      <c r="CR73" s="65"/>
      <c r="CS73" s="65"/>
      <c r="CT73" s="65"/>
      <c r="CU73" s="65"/>
      <c r="CV73" s="65"/>
      <c r="CW73" s="65"/>
      <c r="CX73" s="65"/>
    </row>
    <row r="74" spans="1:102" s="6" customForma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65"/>
      <c r="BR74" s="65"/>
      <c r="BS74" s="65"/>
      <c r="BT74" s="65"/>
      <c r="BU74" s="65"/>
      <c r="BV74" s="65"/>
      <c r="BW74" s="65"/>
      <c r="BX74" s="65"/>
      <c r="BY74" s="65"/>
      <c r="BZ74" s="65"/>
      <c r="CA74" s="65"/>
      <c r="CB74" s="65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65"/>
      <c r="CQ74" s="65"/>
      <c r="CR74" s="65"/>
      <c r="CS74" s="65"/>
      <c r="CT74" s="65"/>
      <c r="CU74" s="65"/>
      <c r="CV74" s="65"/>
      <c r="CW74" s="65"/>
      <c r="CX74" s="65"/>
    </row>
    <row r="75" spans="1:102" s="6" customForma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/>
      <c r="CB75" s="65"/>
      <c r="CC75" s="65"/>
      <c r="CD75" s="65"/>
      <c r="CE75" s="65"/>
      <c r="CF75" s="65"/>
      <c r="CG75" s="65"/>
      <c r="CH75" s="65"/>
      <c r="CI75" s="65"/>
      <c r="CJ75" s="65"/>
      <c r="CK75" s="65"/>
      <c r="CL75" s="65"/>
      <c r="CM75" s="65"/>
      <c r="CN75" s="65"/>
      <c r="CO75" s="65"/>
      <c r="CP75" s="65"/>
      <c r="CQ75" s="65"/>
      <c r="CR75" s="65"/>
      <c r="CS75" s="65"/>
      <c r="CT75" s="65"/>
      <c r="CU75" s="65"/>
      <c r="CV75" s="65"/>
      <c r="CW75" s="65"/>
      <c r="CX75" s="65"/>
    </row>
    <row r="76" spans="1:102" s="6" customForma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/>
      <c r="CR76" s="65"/>
      <c r="CS76" s="65"/>
      <c r="CT76" s="65"/>
      <c r="CU76" s="65"/>
      <c r="CV76" s="65"/>
      <c r="CW76" s="65"/>
      <c r="CX76" s="65"/>
    </row>
    <row r="77" spans="1:102" s="6" customForma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</row>
    <row r="78" spans="1:102" s="6" customForma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</row>
    <row r="79" spans="1:102" s="6" customForma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</row>
    <row r="80" spans="1:102" s="6" customForma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</row>
    <row r="81" spans="1:102" s="6" customForma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</row>
    <row r="82" spans="1:102" s="6" customForma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</row>
    <row r="83" spans="1:102" s="6" customForma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</row>
    <row r="84" spans="1:102" s="6" customForma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</row>
    <row r="85" spans="1:102" s="6" customForma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</row>
    <row r="86" spans="1:102" s="6" customForma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</row>
    <row r="87" spans="1:102" s="6" customForma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</row>
    <row r="88" spans="1:102" s="6" customForma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</row>
    <row r="89" spans="1:102" s="6" customForma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</row>
    <row r="90" spans="1:102" s="6" customForma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</row>
    <row r="91" spans="1:102" s="6" customForma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</row>
    <row r="92" spans="1:102" s="6" customForma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</row>
    <row r="93" spans="1:102" s="6" customForma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</row>
    <row r="94" spans="1:102" s="6" customForma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</row>
    <row r="95" spans="1:102" s="6" customForma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</row>
    <row r="96" spans="1:102" s="6" customForma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</row>
    <row r="97" spans="1:102" s="6" customForma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</row>
    <row r="98" spans="1:102" s="6" customForma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</row>
    <row r="99" spans="1:102" s="6" customForma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</row>
    <row r="100" spans="1:102" s="6" customForma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</row>
    <row r="101" spans="1:102" s="6" customForma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</row>
    <row r="102" spans="1:102" s="6" customForma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/>
      <c r="CB102" s="65"/>
      <c r="CC102" s="65"/>
      <c r="CD102" s="65"/>
      <c r="CE102" s="65"/>
      <c r="CF102" s="65"/>
      <c r="CG102" s="65"/>
      <c r="CH102" s="65"/>
      <c r="CI102" s="65"/>
      <c r="CJ102" s="65"/>
      <c r="CK102" s="65"/>
      <c r="CL102" s="65"/>
      <c r="CM102" s="65"/>
      <c r="CN102" s="65"/>
      <c r="CO102" s="65"/>
      <c r="CP102" s="65"/>
      <c r="CQ102" s="65"/>
      <c r="CR102" s="65"/>
      <c r="CS102" s="65"/>
      <c r="CT102" s="65"/>
      <c r="CU102" s="65"/>
      <c r="CV102" s="65"/>
      <c r="CW102" s="65"/>
      <c r="CX102" s="65"/>
    </row>
    <row r="103" spans="1:102" s="6" customForma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/>
      <c r="CB103" s="65"/>
      <c r="CC103" s="65"/>
      <c r="CD103" s="65"/>
      <c r="CE103" s="65"/>
      <c r="CF103" s="65"/>
      <c r="CG103" s="65"/>
      <c r="CH103" s="65"/>
      <c r="CI103" s="65"/>
      <c r="CJ103" s="65"/>
      <c r="CK103" s="65"/>
      <c r="CL103" s="65"/>
      <c r="CM103" s="65"/>
      <c r="CN103" s="65"/>
      <c r="CO103" s="65"/>
      <c r="CP103" s="65"/>
      <c r="CQ103" s="65"/>
      <c r="CR103" s="65"/>
      <c r="CS103" s="65"/>
      <c r="CT103" s="65"/>
      <c r="CU103" s="65"/>
      <c r="CV103" s="65"/>
      <c r="CW103" s="65"/>
      <c r="CX103" s="65"/>
    </row>
    <row r="104" spans="1:102" s="6" customForma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/>
      <c r="CB104" s="65"/>
      <c r="CC104" s="65"/>
      <c r="CD104" s="65"/>
      <c r="CE104" s="65"/>
      <c r="CF104" s="65"/>
      <c r="CG104" s="65"/>
      <c r="CH104" s="65"/>
      <c r="CI104" s="65"/>
      <c r="CJ104" s="65"/>
      <c r="CK104" s="65"/>
      <c r="CL104" s="65"/>
      <c r="CM104" s="65"/>
      <c r="CN104" s="65"/>
      <c r="CO104" s="65"/>
      <c r="CP104" s="65"/>
      <c r="CQ104" s="65"/>
      <c r="CR104" s="65"/>
      <c r="CS104" s="65"/>
      <c r="CT104" s="65"/>
      <c r="CU104" s="65"/>
      <c r="CV104" s="65"/>
      <c r="CW104" s="65"/>
      <c r="CX104" s="65"/>
    </row>
    <row r="105" spans="1:102" s="6" customForma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/>
      <c r="CB105" s="65"/>
      <c r="CC105" s="65"/>
      <c r="CD105" s="65"/>
      <c r="CE105" s="65"/>
      <c r="CF105" s="65"/>
      <c r="CG105" s="65"/>
      <c r="CH105" s="65"/>
      <c r="CI105" s="65"/>
      <c r="CJ105" s="65"/>
      <c r="CK105" s="65"/>
      <c r="CL105" s="65"/>
      <c r="CM105" s="65"/>
      <c r="CN105" s="65"/>
      <c r="CO105" s="65"/>
      <c r="CP105" s="65"/>
      <c r="CQ105" s="65"/>
      <c r="CR105" s="65"/>
      <c r="CS105" s="65"/>
      <c r="CT105" s="65"/>
      <c r="CU105" s="65"/>
      <c r="CV105" s="65"/>
      <c r="CW105" s="65"/>
      <c r="CX105" s="65"/>
    </row>
    <row r="106" spans="1:102" s="6" customForma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/>
      <c r="CB106" s="65"/>
      <c r="CC106" s="65"/>
      <c r="CD106" s="65"/>
      <c r="CE106" s="65"/>
      <c r="CF106" s="65"/>
      <c r="CG106" s="65"/>
      <c r="CH106" s="65"/>
      <c r="CI106" s="65"/>
      <c r="CJ106" s="65"/>
      <c r="CK106" s="65"/>
      <c r="CL106" s="65"/>
      <c r="CM106" s="65"/>
      <c r="CN106" s="65"/>
      <c r="CO106" s="65"/>
      <c r="CP106" s="65"/>
      <c r="CQ106" s="65"/>
      <c r="CR106" s="65"/>
      <c r="CS106" s="65"/>
      <c r="CT106" s="65"/>
      <c r="CU106" s="65"/>
      <c r="CV106" s="65"/>
      <c r="CW106" s="65"/>
      <c r="CX106" s="65"/>
    </row>
    <row r="107" spans="1:102" s="6" customForma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</row>
    <row r="108" spans="1:102" s="6" customForma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</row>
    <row r="109" spans="1:102" s="6" customForma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</row>
    <row r="110" spans="1:102" s="6" customForma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  <c r="CW110" s="65"/>
      <c r="CX110" s="65"/>
    </row>
    <row r="111" spans="1:102" s="6" customForma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</row>
    <row r="112" spans="1:102" s="6" customForma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</row>
    <row r="113" spans="1:102" s="6" customForma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</row>
    <row r="114" spans="1:102" s="6" customForma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</row>
    <row r="115" spans="1:102" s="6" customForma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</row>
    <row r="116" spans="1:102" s="6" customForma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</row>
    <row r="117" spans="1:102" s="6" customForma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</row>
    <row r="118" spans="1:102" s="6" customForma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5"/>
      <c r="CT118" s="65"/>
      <c r="CU118" s="65"/>
      <c r="CV118" s="65"/>
      <c r="CW118" s="65"/>
      <c r="CX118" s="65"/>
    </row>
    <row r="119" spans="1:102" s="6" customForma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  <c r="CW119" s="65"/>
      <c r="CX119" s="65"/>
    </row>
    <row r="120" spans="1:102" s="6" customForma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  <c r="CW120" s="65"/>
      <c r="CX120" s="65"/>
    </row>
    <row r="121" spans="1:102" s="6" customForma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/>
      <c r="CB121" s="65"/>
      <c r="CC121" s="65"/>
      <c r="CD121" s="65"/>
      <c r="CE121" s="65"/>
      <c r="CF121" s="65"/>
      <c r="CG121" s="65"/>
      <c r="CH121" s="65"/>
      <c r="CI121" s="65"/>
      <c r="CJ121" s="65"/>
      <c r="CK121" s="65"/>
      <c r="CL121" s="65"/>
      <c r="CM121" s="65"/>
      <c r="CN121" s="65"/>
      <c r="CO121" s="65"/>
      <c r="CP121" s="65"/>
      <c r="CQ121" s="65"/>
      <c r="CR121" s="65"/>
      <c r="CS121" s="65"/>
      <c r="CT121" s="65"/>
      <c r="CU121" s="65"/>
      <c r="CV121" s="65"/>
      <c r="CW121" s="65"/>
      <c r="CX121" s="65"/>
    </row>
    <row r="122" spans="1:102" s="6" customForma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/>
      <c r="CB122" s="65"/>
      <c r="CC122" s="65"/>
      <c r="CD122" s="65"/>
      <c r="CE122" s="65"/>
      <c r="CF122" s="65"/>
      <c r="CG122" s="65"/>
      <c r="CH122" s="65"/>
      <c r="CI122" s="65"/>
      <c r="CJ122" s="65"/>
      <c r="CK122" s="65"/>
      <c r="CL122" s="65"/>
      <c r="CM122" s="65"/>
      <c r="CN122" s="65"/>
      <c r="CO122" s="65"/>
      <c r="CP122" s="65"/>
      <c r="CQ122" s="65"/>
      <c r="CR122" s="65"/>
      <c r="CS122" s="65"/>
      <c r="CT122" s="65"/>
      <c r="CU122" s="65"/>
      <c r="CV122" s="65"/>
      <c r="CW122" s="65"/>
      <c r="CX122" s="65"/>
    </row>
    <row r="123" spans="1:102" s="6" customForma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/>
      <c r="CB123" s="65"/>
      <c r="CC123" s="65"/>
      <c r="CD123" s="65"/>
      <c r="CE123" s="65"/>
      <c r="CF123" s="65"/>
      <c r="CG123" s="65"/>
      <c r="CH123" s="65"/>
      <c r="CI123" s="65"/>
      <c r="CJ123" s="65"/>
      <c r="CK123" s="65"/>
      <c r="CL123" s="65"/>
      <c r="CM123" s="65"/>
      <c r="CN123" s="65"/>
      <c r="CO123" s="65"/>
      <c r="CP123" s="65"/>
      <c r="CQ123" s="65"/>
      <c r="CR123" s="65"/>
      <c r="CS123" s="65"/>
      <c r="CT123" s="65"/>
      <c r="CU123" s="65"/>
      <c r="CV123" s="65"/>
      <c r="CW123" s="65"/>
      <c r="CX123" s="65"/>
    </row>
    <row r="124" spans="1:102" s="6" customForma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/>
      <c r="CB124" s="65"/>
      <c r="CC124" s="65"/>
      <c r="CD124" s="65"/>
      <c r="CE124" s="65"/>
      <c r="CF124" s="65"/>
      <c r="CG124" s="65"/>
      <c r="CH124" s="65"/>
      <c r="CI124" s="65"/>
      <c r="CJ124" s="65"/>
      <c r="CK124" s="65"/>
      <c r="CL124" s="65"/>
      <c r="CM124" s="65"/>
      <c r="CN124" s="65"/>
      <c r="CO124" s="65"/>
      <c r="CP124" s="65"/>
      <c r="CQ124" s="65"/>
      <c r="CR124" s="65"/>
      <c r="CS124" s="65"/>
      <c r="CT124" s="65"/>
      <c r="CU124" s="65"/>
      <c r="CV124" s="65"/>
      <c r="CW124" s="65"/>
      <c r="CX124" s="65"/>
    </row>
    <row r="125" spans="1:102" s="6" customForma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65"/>
      <c r="CL125" s="65"/>
      <c r="CM125" s="65"/>
      <c r="CN125" s="65"/>
      <c r="CO125" s="65"/>
      <c r="CP125" s="65"/>
      <c r="CQ125" s="65"/>
      <c r="CR125" s="65"/>
      <c r="CS125" s="65"/>
      <c r="CT125" s="65"/>
      <c r="CU125" s="65"/>
      <c r="CV125" s="65"/>
      <c r="CW125" s="65"/>
      <c r="CX125" s="65"/>
    </row>
    <row r="126" spans="1:102" s="6" customForma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65"/>
      <c r="CL126" s="65"/>
      <c r="CM126" s="65"/>
      <c r="CN126" s="65"/>
      <c r="CO126" s="65"/>
      <c r="CP126" s="65"/>
      <c r="CQ126" s="65"/>
      <c r="CR126" s="65"/>
      <c r="CS126" s="65"/>
      <c r="CT126" s="65"/>
      <c r="CU126" s="65"/>
      <c r="CV126" s="65"/>
      <c r="CW126" s="65"/>
      <c r="CX126" s="65"/>
    </row>
    <row r="127" spans="1:102" s="6" customForma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/>
      <c r="CI127" s="65"/>
      <c r="CJ127" s="65"/>
      <c r="CK127" s="65"/>
      <c r="CL127" s="65"/>
      <c r="CM127" s="65"/>
      <c r="CN127" s="65"/>
      <c r="CO127" s="65"/>
      <c r="CP127" s="65"/>
      <c r="CQ127" s="65"/>
      <c r="CR127" s="65"/>
      <c r="CS127" s="65"/>
      <c r="CT127" s="65"/>
      <c r="CU127" s="65"/>
      <c r="CV127" s="65"/>
      <c r="CW127" s="65"/>
      <c r="CX127" s="65"/>
    </row>
    <row r="128" spans="1:102" s="6" customForma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  <c r="BU128" s="65"/>
      <c r="BV128" s="65"/>
      <c r="BW128" s="65"/>
      <c r="BX128" s="65"/>
      <c r="BY128" s="65"/>
      <c r="BZ128" s="65"/>
      <c r="CA128" s="65"/>
      <c r="CB128" s="65"/>
      <c r="CC128" s="65"/>
      <c r="CD128" s="65"/>
      <c r="CE128" s="65"/>
      <c r="CF128" s="65"/>
      <c r="CG128" s="65"/>
      <c r="CH128" s="65"/>
      <c r="CI128" s="65"/>
      <c r="CJ128" s="65"/>
      <c r="CK128" s="65"/>
      <c r="CL128" s="65"/>
      <c r="CM128" s="65"/>
      <c r="CN128" s="65"/>
      <c r="CO128" s="65"/>
      <c r="CP128" s="65"/>
      <c r="CQ128" s="65"/>
      <c r="CR128" s="65"/>
      <c r="CS128" s="65"/>
      <c r="CT128" s="65"/>
      <c r="CU128" s="65"/>
      <c r="CV128" s="65"/>
      <c r="CW128" s="65"/>
      <c r="CX128" s="65"/>
    </row>
    <row r="129" spans="1:102" s="6" customForma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/>
      <c r="CI129" s="65"/>
      <c r="CJ129" s="65"/>
      <c r="CK129" s="65"/>
      <c r="CL129" s="65"/>
      <c r="CM129" s="65"/>
      <c r="CN129" s="65"/>
      <c r="CO129" s="65"/>
      <c r="CP129" s="65"/>
      <c r="CQ129" s="65"/>
      <c r="CR129" s="65"/>
      <c r="CS129" s="65"/>
      <c r="CT129" s="65"/>
      <c r="CU129" s="65"/>
      <c r="CV129" s="65"/>
      <c r="CW129" s="65"/>
      <c r="CX129" s="65"/>
    </row>
    <row r="130" spans="1:102" s="6" customForma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  <c r="BM130" s="65"/>
      <c r="BN130" s="65"/>
      <c r="BO130" s="65"/>
      <c r="BP130" s="65"/>
      <c r="BQ130" s="65"/>
      <c r="BR130" s="65"/>
      <c r="BS130" s="65"/>
      <c r="BT130" s="65"/>
      <c r="BU130" s="65"/>
      <c r="BV130" s="65"/>
      <c r="BW130" s="65"/>
      <c r="BX130" s="65"/>
      <c r="BY130" s="65"/>
      <c r="BZ130" s="65"/>
      <c r="CA130" s="65"/>
      <c r="CB130" s="65"/>
      <c r="CC130" s="65"/>
      <c r="CD130" s="65"/>
      <c r="CE130" s="65"/>
      <c r="CF130" s="65"/>
      <c r="CG130" s="65"/>
      <c r="CH130" s="65"/>
      <c r="CI130" s="65"/>
      <c r="CJ130" s="65"/>
      <c r="CK130" s="65"/>
      <c r="CL130" s="65"/>
      <c r="CM130" s="65"/>
      <c r="CN130" s="65"/>
      <c r="CO130" s="65"/>
      <c r="CP130" s="65"/>
      <c r="CQ130" s="65"/>
      <c r="CR130" s="65"/>
      <c r="CS130" s="65"/>
      <c r="CT130" s="65"/>
      <c r="CU130" s="65"/>
      <c r="CV130" s="65"/>
      <c r="CW130" s="65"/>
      <c r="CX130" s="65"/>
    </row>
    <row r="131" spans="1:102" s="6" customForma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65"/>
      <c r="BN131" s="65"/>
      <c r="BO131" s="65"/>
      <c r="BP131" s="65"/>
      <c r="BQ131" s="65"/>
      <c r="BR131" s="65"/>
      <c r="BS131" s="65"/>
      <c r="BT131" s="65"/>
      <c r="BU131" s="65"/>
      <c r="BV131" s="65"/>
      <c r="BW131" s="65"/>
      <c r="BX131" s="65"/>
      <c r="BY131" s="65"/>
      <c r="BZ131" s="65"/>
      <c r="CA131" s="65"/>
      <c r="CB131" s="65"/>
      <c r="CC131" s="65"/>
      <c r="CD131" s="65"/>
      <c r="CE131" s="65"/>
      <c r="CF131" s="65"/>
      <c r="CG131" s="65"/>
      <c r="CH131" s="65"/>
      <c r="CI131" s="65"/>
      <c r="CJ131" s="65"/>
      <c r="CK131" s="65"/>
      <c r="CL131" s="65"/>
      <c r="CM131" s="65"/>
      <c r="CN131" s="65"/>
      <c r="CO131" s="65"/>
      <c r="CP131" s="65"/>
      <c r="CQ131" s="65"/>
      <c r="CR131" s="65"/>
      <c r="CS131" s="65"/>
      <c r="CT131" s="65"/>
      <c r="CU131" s="65"/>
      <c r="CV131" s="65"/>
      <c r="CW131" s="65"/>
      <c r="CX131" s="65"/>
    </row>
    <row r="132" spans="1:102" s="6" customForma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5"/>
      <c r="BM132" s="65"/>
      <c r="BN132" s="65"/>
      <c r="BO132" s="65"/>
      <c r="BP132" s="65"/>
      <c r="BQ132" s="65"/>
      <c r="BR132" s="65"/>
      <c r="BS132" s="65"/>
      <c r="BT132" s="65"/>
      <c r="BU132" s="65"/>
      <c r="BV132" s="65"/>
      <c r="BW132" s="65"/>
      <c r="BX132" s="65"/>
      <c r="BY132" s="65"/>
      <c r="BZ132" s="65"/>
      <c r="CA132" s="65"/>
      <c r="CB132" s="65"/>
      <c r="CC132" s="65"/>
      <c r="CD132" s="65"/>
      <c r="CE132" s="65"/>
      <c r="CF132" s="65"/>
      <c r="CG132" s="65"/>
      <c r="CH132" s="65"/>
      <c r="CI132" s="65"/>
      <c r="CJ132" s="65"/>
      <c r="CK132" s="65"/>
      <c r="CL132" s="65"/>
      <c r="CM132" s="65"/>
      <c r="CN132" s="65"/>
      <c r="CO132" s="65"/>
      <c r="CP132" s="65"/>
      <c r="CQ132" s="65"/>
      <c r="CR132" s="65"/>
      <c r="CS132" s="65"/>
      <c r="CT132" s="65"/>
      <c r="CU132" s="65"/>
      <c r="CV132" s="65"/>
      <c r="CW132" s="65"/>
      <c r="CX132" s="65"/>
    </row>
    <row r="133" spans="1:102" s="6" customForma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/>
      <c r="BI133" s="65"/>
      <c r="BJ133" s="65"/>
      <c r="BK133" s="65"/>
      <c r="BL133" s="65"/>
      <c r="BM133" s="65"/>
      <c r="BN133" s="65"/>
      <c r="BO133" s="65"/>
      <c r="BP133" s="65"/>
      <c r="BQ133" s="65"/>
      <c r="BR133" s="65"/>
      <c r="BS133" s="65"/>
      <c r="BT133" s="65"/>
      <c r="BU133" s="65"/>
      <c r="BV133" s="65"/>
      <c r="BW133" s="65"/>
      <c r="BX133" s="65"/>
      <c r="BY133" s="65"/>
      <c r="BZ133" s="65"/>
      <c r="CA133" s="65"/>
      <c r="CB133" s="65"/>
      <c r="CC133" s="65"/>
      <c r="CD133" s="65"/>
      <c r="CE133" s="65"/>
      <c r="CF133" s="65"/>
      <c r="CG133" s="65"/>
      <c r="CH133" s="65"/>
      <c r="CI133" s="65"/>
      <c r="CJ133" s="65"/>
      <c r="CK133" s="65"/>
      <c r="CL133" s="65"/>
      <c r="CM133" s="65"/>
      <c r="CN133" s="65"/>
      <c r="CO133" s="65"/>
      <c r="CP133" s="65"/>
      <c r="CQ133" s="65"/>
      <c r="CR133" s="65"/>
      <c r="CS133" s="65"/>
      <c r="CT133" s="65"/>
      <c r="CU133" s="65"/>
      <c r="CV133" s="65"/>
      <c r="CW133" s="65"/>
      <c r="CX133" s="65"/>
    </row>
    <row r="134" spans="1:102" s="6" customForma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  <c r="BE134" s="65"/>
      <c r="BF134" s="65"/>
      <c r="BG134" s="65"/>
      <c r="BH134" s="65"/>
      <c r="BI134" s="65"/>
      <c r="BJ134" s="65"/>
      <c r="BK134" s="65"/>
      <c r="BL134" s="65"/>
      <c r="BM134" s="65"/>
      <c r="BN134" s="65"/>
      <c r="BO134" s="65"/>
      <c r="BP134" s="65"/>
      <c r="BQ134" s="65"/>
      <c r="BR134" s="65"/>
      <c r="BS134" s="65"/>
      <c r="BT134" s="65"/>
      <c r="BU134" s="65"/>
      <c r="BV134" s="65"/>
      <c r="BW134" s="65"/>
      <c r="BX134" s="65"/>
      <c r="BY134" s="65"/>
      <c r="BZ134" s="65"/>
      <c r="CA134" s="65"/>
      <c r="CB134" s="65"/>
      <c r="CC134" s="65"/>
      <c r="CD134" s="65"/>
      <c r="CE134" s="65"/>
      <c r="CF134" s="65"/>
      <c r="CG134" s="65"/>
      <c r="CH134" s="65"/>
      <c r="CI134" s="65"/>
      <c r="CJ134" s="65"/>
      <c r="CK134" s="65"/>
      <c r="CL134" s="65"/>
      <c r="CM134" s="65"/>
      <c r="CN134" s="65"/>
      <c r="CO134" s="65"/>
      <c r="CP134" s="65"/>
      <c r="CQ134" s="65"/>
      <c r="CR134" s="65"/>
      <c r="CS134" s="65"/>
      <c r="CT134" s="65"/>
      <c r="CU134" s="65"/>
      <c r="CV134" s="65"/>
      <c r="CW134" s="65"/>
      <c r="CX134" s="65"/>
    </row>
    <row r="135" spans="1:102" s="6" customForma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  <c r="BE135" s="65"/>
      <c r="BF135" s="65"/>
      <c r="BG135" s="65"/>
      <c r="BH135" s="65"/>
      <c r="BI135" s="65"/>
      <c r="BJ135" s="65"/>
      <c r="BK135" s="65"/>
      <c r="BL135" s="65"/>
      <c r="BM135" s="65"/>
      <c r="BN135" s="65"/>
      <c r="BO135" s="65"/>
      <c r="BP135" s="65"/>
      <c r="BQ135" s="65"/>
      <c r="BR135" s="65"/>
      <c r="BS135" s="65"/>
      <c r="BT135" s="65"/>
      <c r="BU135" s="65"/>
      <c r="BV135" s="65"/>
      <c r="BW135" s="65"/>
      <c r="BX135" s="65"/>
      <c r="BY135" s="65"/>
      <c r="BZ135" s="65"/>
      <c r="CA135" s="65"/>
      <c r="CB135" s="65"/>
      <c r="CC135" s="65"/>
      <c r="CD135" s="65"/>
      <c r="CE135" s="65"/>
      <c r="CF135" s="65"/>
      <c r="CG135" s="65"/>
      <c r="CH135" s="65"/>
      <c r="CI135" s="65"/>
      <c r="CJ135" s="65"/>
      <c r="CK135" s="65"/>
      <c r="CL135" s="65"/>
      <c r="CM135" s="65"/>
      <c r="CN135" s="65"/>
      <c r="CO135" s="65"/>
      <c r="CP135" s="65"/>
      <c r="CQ135" s="65"/>
      <c r="CR135" s="65"/>
      <c r="CS135" s="65"/>
      <c r="CT135" s="65"/>
      <c r="CU135" s="65"/>
      <c r="CV135" s="65"/>
      <c r="CW135" s="65"/>
      <c r="CX135" s="65"/>
    </row>
    <row r="136" spans="1:102" s="6" customForma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  <c r="BE136" s="65"/>
      <c r="BF136" s="65"/>
      <c r="BG136" s="65"/>
      <c r="BH136" s="65"/>
      <c r="BI136" s="65"/>
      <c r="BJ136" s="65"/>
      <c r="BK136" s="65"/>
      <c r="BL136" s="65"/>
      <c r="BM136" s="65"/>
      <c r="BN136" s="65"/>
      <c r="BO136" s="65"/>
      <c r="BP136" s="65"/>
      <c r="BQ136" s="65"/>
      <c r="BR136" s="65"/>
      <c r="BS136" s="65"/>
      <c r="BT136" s="65"/>
      <c r="BU136" s="65"/>
      <c r="BV136" s="65"/>
      <c r="BW136" s="65"/>
      <c r="BX136" s="65"/>
      <c r="BY136" s="65"/>
      <c r="BZ136" s="65"/>
      <c r="CA136" s="65"/>
      <c r="CB136" s="65"/>
      <c r="CC136" s="65"/>
      <c r="CD136" s="65"/>
      <c r="CE136" s="65"/>
      <c r="CF136" s="65"/>
      <c r="CG136" s="65"/>
      <c r="CH136" s="65"/>
      <c r="CI136" s="65"/>
      <c r="CJ136" s="65"/>
      <c r="CK136" s="65"/>
      <c r="CL136" s="65"/>
      <c r="CM136" s="65"/>
      <c r="CN136" s="65"/>
      <c r="CO136" s="65"/>
      <c r="CP136" s="65"/>
      <c r="CQ136" s="65"/>
      <c r="CR136" s="65"/>
      <c r="CS136" s="65"/>
      <c r="CT136" s="65"/>
      <c r="CU136" s="65"/>
      <c r="CV136" s="65"/>
      <c r="CW136" s="65"/>
      <c r="CX136" s="65"/>
    </row>
    <row r="137" spans="1:102" s="6" customForma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5"/>
      <c r="BF137" s="65"/>
      <c r="BG137" s="65"/>
      <c r="BH137" s="65"/>
      <c r="BI137" s="65"/>
      <c r="BJ137" s="65"/>
      <c r="BK137" s="65"/>
      <c r="BL137" s="65"/>
      <c r="BM137" s="65"/>
      <c r="BN137" s="65"/>
      <c r="BO137" s="65"/>
      <c r="BP137" s="65"/>
      <c r="BQ137" s="65"/>
      <c r="BR137" s="65"/>
      <c r="BS137" s="65"/>
      <c r="BT137" s="65"/>
      <c r="BU137" s="65"/>
      <c r="BV137" s="65"/>
      <c r="BW137" s="65"/>
      <c r="BX137" s="65"/>
      <c r="BY137" s="65"/>
      <c r="BZ137" s="65"/>
      <c r="CA137" s="65"/>
      <c r="CB137" s="65"/>
      <c r="CC137" s="65"/>
      <c r="CD137" s="65"/>
      <c r="CE137" s="65"/>
      <c r="CF137" s="65"/>
      <c r="CG137" s="65"/>
      <c r="CH137" s="65"/>
      <c r="CI137" s="65"/>
      <c r="CJ137" s="65"/>
      <c r="CK137" s="65"/>
      <c r="CL137" s="65"/>
      <c r="CM137" s="65"/>
      <c r="CN137" s="65"/>
      <c r="CO137" s="65"/>
      <c r="CP137" s="65"/>
      <c r="CQ137" s="65"/>
      <c r="CR137" s="65"/>
      <c r="CS137" s="65"/>
      <c r="CT137" s="65"/>
      <c r="CU137" s="65"/>
      <c r="CV137" s="65"/>
      <c r="CW137" s="65"/>
      <c r="CX137" s="65"/>
    </row>
    <row r="138" spans="1:102" s="6" customForma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  <c r="CA138" s="65"/>
      <c r="CB138" s="65"/>
      <c r="CC138" s="65"/>
      <c r="CD138" s="65"/>
      <c r="CE138" s="65"/>
      <c r="CF138" s="65"/>
      <c r="CG138" s="65"/>
      <c r="CH138" s="65"/>
      <c r="CI138" s="65"/>
      <c r="CJ138" s="65"/>
      <c r="CK138" s="65"/>
      <c r="CL138" s="65"/>
      <c r="CM138" s="65"/>
      <c r="CN138" s="65"/>
      <c r="CO138" s="65"/>
      <c r="CP138" s="65"/>
      <c r="CQ138" s="65"/>
      <c r="CR138" s="65"/>
      <c r="CS138" s="65"/>
      <c r="CT138" s="65"/>
      <c r="CU138" s="65"/>
      <c r="CV138" s="65"/>
      <c r="CW138" s="65"/>
      <c r="CX138" s="65"/>
    </row>
    <row r="139" spans="1:102" s="6" customForma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  <c r="BJ139" s="65"/>
      <c r="BK139" s="65"/>
      <c r="BL139" s="65"/>
      <c r="BM139" s="65"/>
      <c r="BN139" s="65"/>
      <c r="BO139" s="65"/>
      <c r="BP139" s="65"/>
      <c r="BQ139" s="65"/>
      <c r="BR139" s="65"/>
      <c r="BS139" s="65"/>
      <c r="BT139" s="65"/>
      <c r="BU139" s="65"/>
      <c r="BV139" s="65"/>
      <c r="BW139" s="65"/>
      <c r="BX139" s="65"/>
      <c r="BY139" s="65"/>
      <c r="BZ139" s="65"/>
      <c r="CA139" s="65"/>
      <c r="CB139" s="65"/>
      <c r="CC139" s="65"/>
      <c r="CD139" s="65"/>
      <c r="CE139" s="65"/>
      <c r="CF139" s="65"/>
      <c r="CG139" s="65"/>
      <c r="CH139" s="65"/>
      <c r="CI139" s="65"/>
      <c r="CJ139" s="65"/>
      <c r="CK139" s="65"/>
      <c r="CL139" s="65"/>
      <c r="CM139" s="65"/>
      <c r="CN139" s="65"/>
      <c r="CO139" s="65"/>
      <c r="CP139" s="65"/>
      <c r="CQ139" s="65"/>
      <c r="CR139" s="65"/>
      <c r="CS139" s="65"/>
      <c r="CT139" s="65"/>
      <c r="CU139" s="65"/>
      <c r="CV139" s="65"/>
      <c r="CW139" s="65"/>
      <c r="CX139" s="65"/>
    </row>
    <row r="140" spans="1:102" s="6" customForma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  <c r="BE140" s="65"/>
      <c r="BF140" s="65"/>
      <c r="BG140" s="65"/>
      <c r="BH140" s="65"/>
      <c r="BI140" s="65"/>
      <c r="BJ140" s="65"/>
      <c r="BK140" s="65"/>
      <c r="BL140" s="65"/>
      <c r="BM140" s="65"/>
      <c r="BN140" s="65"/>
      <c r="BO140" s="65"/>
      <c r="BP140" s="65"/>
      <c r="BQ140" s="65"/>
      <c r="BR140" s="65"/>
      <c r="BS140" s="65"/>
      <c r="BT140" s="65"/>
      <c r="BU140" s="65"/>
      <c r="BV140" s="65"/>
      <c r="BW140" s="65"/>
      <c r="BX140" s="65"/>
      <c r="BY140" s="65"/>
      <c r="BZ140" s="65"/>
      <c r="CA140" s="65"/>
      <c r="CB140" s="65"/>
      <c r="CC140" s="65"/>
      <c r="CD140" s="65"/>
      <c r="CE140" s="65"/>
      <c r="CF140" s="65"/>
      <c r="CG140" s="65"/>
      <c r="CH140" s="65"/>
      <c r="CI140" s="65"/>
      <c r="CJ140" s="65"/>
      <c r="CK140" s="65"/>
      <c r="CL140" s="65"/>
      <c r="CM140" s="65"/>
      <c r="CN140" s="65"/>
      <c r="CO140" s="65"/>
      <c r="CP140" s="65"/>
      <c r="CQ140" s="65"/>
      <c r="CR140" s="65"/>
      <c r="CS140" s="65"/>
      <c r="CT140" s="65"/>
      <c r="CU140" s="65"/>
      <c r="CV140" s="65"/>
      <c r="CW140" s="65"/>
      <c r="CX140" s="65"/>
    </row>
    <row r="141" spans="1:102" s="6" customForma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  <c r="BE141" s="65"/>
      <c r="BF141" s="65"/>
      <c r="BG141" s="65"/>
      <c r="BH141" s="65"/>
      <c r="BI141" s="65"/>
      <c r="BJ141" s="65"/>
      <c r="BK141" s="65"/>
      <c r="BL141" s="65"/>
      <c r="BM141" s="65"/>
      <c r="BN141" s="65"/>
      <c r="BO141" s="65"/>
      <c r="BP141" s="65"/>
      <c r="BQ141" s="65"/>
      <c r="BR141" s="65"/>
      <c r="BS141" s="65"/>
      <c r="BT141" s="65"/>
      <c r="BU141" s="65"/>
      <c r="BV141" s="65"/>
      <c r="BW141" s="65"/>
      <c r="BX141" s="65"/>
      <c r="BY141" s="65"/>
      <c r="BZ141" s="65"/>
      <c r="CA141" s="65"/>
      <c r="CB141" s="65"/>
      <c r="CC141" s="65"/>
      <c r="CD141" s="65"/>
      <c r="CE141" s="65"/>
      <c r="CF141" s="65"/>
      <c r="CG141" s="65"/>
      <c r="CH141" s="65"/>
      <c r="CI141" s="65"/>
      <c r="CJ141" s="65"/>
      <c r="CK141" s="65"/>
      <c r="CL141" s="65"/>
      <c r="CM141" s="65"/>
      <c r="CN141" s="65"/>
      <c r="CO141" s="65"/>
      <c r="CP141" s="65"/>
      <c r="CQ141" s="65"/>
      <c r="CR141" s="65"/>
      <c r="CS141" s="65"/>
      <c r="CT141" s="65"/>
      <c r="CU141" s="65"/>
      <c r="CV141" s="65"/>
      <c r="CW141" s="65"/>
      <c r="CX141" s="65"/>
    </row>
    <row r="142" spans="1:102" s="6" customForma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  <c r="BE142" s="65"/>
      <c r="BF142" s="65"/>
      <c r="BG142" s="65"/>
      <c r="BH142" s="65"/>
      <c r="BI142" s="65"/>
      <c r="BJ142" s="65"/>
      <c r="BK142" s="65"/>
      <c r="BL142" s="65"/>
      <c r="BM142" s="65"/>
      <c r="BN142" s="65"/>
      <c r="BO142" s="65"/>
      <c r="BP142" s="65"/>
      <c r="BQ142" s="65"/>
      <c r="BR142" s="65"/>
      <c r="BS142" s="65"/>
      <c r="BT142" s="65"/>
      <c r="BU142" s="65"/>
      <c r="BV142" s="65"/>
      <c r="BW142" s="65"/>
      <c r="BX142" s="65"/>
      <c r="BY142" s="65"/>
      <c r="BZ142" s="65"/>
      <c r="CA142" s="65"/>
      <c r="CB142" s="65"/>
      <c r="CC142" s="65"/>
      <c r="CD142" s="65"/>
      <c r="CE142" s="65"/>
      <c r="CF142" s="65"/>
      <c r="CG142" s="65"/>
      <c r="CH142" s="65"/>
      <c r="CI142" s="65"/>
      <c r="CJ142" s="65"/>
      <c r="CK142" s="65"/>
      <c r="CL142" s="65"/>
      <c r="CM142" s="65"/>
      <c r="CN142" s="65"/>
      <c r="CO142" s="65"/>
      <c r="CP142" s="65"/>
      <c r="CQ142" s="65"/>
      <c r="CR142" s="65"/>
      <c r="CS142" s="65"/>
      <c r="CT142" s="65"/>
      <c r="CU142" s="65"/>
      <c r="CV142" s="65"/>
      <c r="CW142" s="65"/>
      <c r="CX142" s="65"/>
    </row>
    <row r="143" spans="1:102" s="6" customForma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  <c r="BE143" s="65"/>
      <c r="BF143" s="65"/>
      <c r="BG143" s="65"/>
      <c r="BH143" s="65"/>
      <c r="BI143" s="65"/>
      <c r="BJ143" s="65"/>
      <c r="BK143" s="65"/>
      <c r="BL143" s="65"/>
      <c r="BM143" s="65"/>
      <c r="BN143" s="65"/>
      <c r="BO143" s="65"/>
      <c r="BP143" s="65"/>
      <c r="BQ143" s="65"/>
      <c r="BR143" s="65"/>
      <c r="BS143" s="65"/>
      <c r="BT143" s="65"/>
      <c r="BU143" s="65"/>
      <c r="BV143" s="65"/>
      <c r="BW143" s="65"/>
      <c r="BX143" s="65"/>
      <c r="BY143" s="65"/>
      <c r="BZ143" s="65"/>
      <c r="CA143" s="65"/>
      <c r="CB143" s="65"/>
      <c r="CC143" s="65"/>
      <c r="CD143" s="65"/>
      <c r="CE143" s="65"/>
      <c r="CF143" s="65"/>
      <c r="CG143" s="65"/>
      <c r="CH143" s="65"/>
      <c r="CI143" s="65"/>
      <c r="CJ143" s="65"/>
      <c r="CK143" s="65"/>
      <c r="CL143" s="65"/>
      <c r="CM143" s="65"/>
      <c r="CN143" s="65"/>
      <c r="CO143" s="65"/>
      <c r="CP143" s="65"/>
      <c r="CQ143" s="65"/>
      <c r="CR143" s="65"/>
      <c r="CS143" s="65"/>
      <c r="CT143" s="65"/>
      <c r="CU143" s="65"/>
      <c r="CV143" s="65"/>
      <c r="CW143" s="65"/>
      <c r="CX143" s="65"/>
    </row>
    <row r="144" spans="1:102" s="6" customForma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  <c r="BE144" s="65"/>
      <c r="BF144" s="65"/>
      <c r="BG144" s="65"/>
      <c r="BH144" s="65"/>
      <c r="BI144" s="65"/>
      <c r="BJ144" s="65"/>
      <c r="BK144" s="65"/>
      <c r="BL144" s="65"/>
      <c r="BM144" s="65"/>
      <c r="BN144" s="65"/>
      <c r="BO144" s="65"/>
      <c r="BP144" s="65"/>
      <c r="BQ144" s="65"/>
      <c r="BR144" s="65"/>
      <c r="BS144" s="65"/>
      <c r="BT144" s="65"/>
      <c r="BU144" s="65"/>
      <c r="BV144" s="65"/>
      <c r="BW144" s="65"/>
      <c r="BX144" s="65"/>
      <c r="BY144" s="65"/>
      <c r="BZ144" s="65"/>
      <c r="CA144" s="65"/>
      <c r="CB144" s="65"/>
      <c r="CC144" s="65"/>
      <c r="CD144" s="65"/>
      <c r="CE144" s="65"/>
      <c r="CF144" s="65"/>
      <c r="CG144" s="65"/>
      <c r="CH144" s="65"/>
      <c r="CI144" s="65"/>
      <c r="CJ144" s="65"/>
      <c r="CK144" s="65"/>
      <c r="CL144" s="65"/>
      <c r="CM144" s="65"/>
      <c r="CN144" s="65"/>
      <c r="CO144" s="65"/>
      <c r="CP144" s="65"/>
      <c r="CQ144" s="65"/>
      <c r="CR144" s="65"/>
      <c r="CS144" s="65"/>
      <c r="CT144" s="65"/>
      <c r="CU144" s="65"/>
      <c r="CV144" s="65"/>
      <c r="CW144" s="65"/>
      <c r="CX144" s="65"/>
    </row>
    <row r="145" spans="1:102" s="6" customForma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/>
      <c r="BI145" s="65"/>
      <c r="BJ145" s="65"/>
      <c r="BK145" s="65"/>
      <c r="BL145" s="65"/>
      <c r="BM145" s="65"/>
      <c r="BN145" s="65"/>
      <c r="BO145" s="65"/>
      <c r="BP145" s="65"/>
      <c r="BQ145" s="65"/>
      <c r="BR145" s="65"/>
      <c r="BS145" s="65"/>
      <c r="BT145" s="65"/>
      <c r="BU145" s="65"/>
      <c r="BV145" s="65"/>
      <c r="BW145" s="65"/>
      <c r="BX145" s="65"/>
      <c r="BY145" s="65"/>
      <c r="BZ145" s="65"/>
      <c r="CA145" s="65"/>
      <c r="CB145" s="65"/>
      <c r="CC145" s="65"/>
      <c r="CD145" s="65"/>
      <c r="CE145" s="65"/>
      <c r="CF145" s="65"/>
      <c r="CG145" s="65"/>
      <c r="CH145" s="65"/>
      <c r="CI145" s="65"/>
      <c r="CJ145" s="65"/>
      <c r="CK145" s="65"/>
      <c r="CL145" s="65"/>
      <c r="CM145" s="65"/>
      <c r="CN145" s="65"/>
      <c r="CO145" s="65"/>
      <c r="CP145" s="65"/>
      <c r="CQ145" s="65"/>
      <c r="CR145" s="65"/>
      <c r="CS145" s="65"/>
      <c r="CT145" s="65"/>
      <c r="CU145" s="65"/>
      <c r="CV145" s="65"/>
      <c r="CW145" s="65"/>
      <c r="CX145" s="65"/>
    </row>
    <row r="146" spans="1:102" s="6" customForma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  <c r="BE146" s="65"/>
      <c r="BF146" s="65"/>
      <c r="BG146" s="65"/>
      <c r="BH146" s="65"/>
      <c r="BI146" s="65"/>
      <c r="BJ146" s="65"/>
      <c r="BK146" s="65"/>
      <c r="BL146" s="65"/>
      <c r="BM146" s="65"/>
      <c r="BN146" s="65"/>
      <c r="BO146" s="65"/>
      <c r="BP146" s="65"/>
      <c r="BQ146" s="65"/>
      <c r="BR146" s="65"/>
      <c r="BS146" s="65"/>
      <c r="BT146" s="65"/>
      <c r="BU146" s="65"/>
      <c r="BV146" s="65"/>
      <c r="BW146" s="65"/>
      <c r="BX146" s="65"/>
      <c r="BY146" s="65"/>
      <c r="BZ146" s="65"/>
      <c r="CA146" s="65"/>
      <c r="CB146" s="65"/>
      <c r="CC146" s="65"/>
      <c r="CD146" s="65"/>
      <c r="CE146" s="65"/>
      <c r="CF146" s="65"/>
      <c r="CG146" s="65"/>
      <c r="CH146" s="65"/>
      <c r="CI146" s="65"/>
      <c r="CJ146" s="65"/>
      <c r="CK146" s="65"/>
      <c r="CL146" s="65"/>
      <c r="CM146" s="65"/>
      <c r="CN146" s="65"/>
      <c r="CO146" s="65"/>
      <c r="CP146" s="65"/>
      <c r="CQ146" s="65"/>
      <c r="CR146" s="65"/>
      <c r="CS146" s="65"/>
      <c r="CT146" s="65"/>
      <c r="CU146" s="65"/>
      <c r="CV146" s="65"/>
      <c r="CW146" s="65"/>
      <c r="CX146" s="65"/>
    </row>
    <row r="147" spans="1:102" s="6" customForma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  <c r="BE147" s="65"/>
      <c r="BF147" s="65"/>
      <c r="BG147" s="65"/>
      <c r="BH147" s="65"/>
      <c r="BI147" s="65"/>
      <c r="BJ147" s="65"/>
      <c r="BK147" s="65"/>
      <c r="BL147" s="65"/>
      <c r="BM147" s="65"/>
      <c r="BN147" s="65"/>
      <c r="BO147" s="65"/>
      <c r="BP147" s="65"/>
      <c r="BQ147" s="65"/>
      <c r="BR147" s="65"/>
      <c r="BS147" s="65"/>
      <c r="BT147" s="65"/>
      <c r="BU147" s="65"/>
      <c r="BV147" s="65"/>
      <c r="BW147" s="65"/>
      <c r="BX147" s="65"/>
      <c r="BY147" s="65"/>
      <c r="BZ147" s="65"/>
      <c r="CA147" s="65"/>
      <c r="CB147" s="65"/>
      <c r="CC147" s="65"/>
      <c r="CD147" s="65"/>
      <c r="CE147" s="65"/>
      <c r="CF147" s="65"/>
      <c r="CG147" s="65"/>
      <c r="CH147" s="65"/>
      <c r="CI147" s="65"/>
      <c r="CJ147" s="65"/>
      <c r="CK147" s="65"/>
      <c r="CL147" s="65"/>
      <c r="CM147" s="65"/>
      <c r="CN147" s="65"/>
      <c r="CO147" s="65"/>
      <c r="CP147" s="65"/>
      <c r="CQ147" s="65"/>
      <c r="CR147" s="65"/>
      <c r="CS147" s="65"/>
      <c r="CT147" s="65"/>
      <c r="CU147" s="65"/>
      <c r="CV147" s="65"/>
      <c r="CW147" s="65"/>
      <c r="CX147" s="65"/>
    </row>
    <row r="148" spans="1:102" s="6" customForma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65"/>
      <c r="BH148" s="65"/>
      <c r="BI148" s="65"/>
      <c r="BJ148" s="65"/>
      <c r="BK148" s="65"/>
      <c r="BL148" s="65"/>
      <c r="BM148" s="65"/>
      <c r="BN148" s="65"/>
      <c r="BO148" s="65"/>
      <c r="BP148" s="65"/>
      <c r="BQ148" s="65"/>
      <c r="BR148" s="65"/>
      <c r="BS148" s="65"/>
      <c r="BT148" s="65"/>
      <c r="BU148" s="65"/>
      <c r="BV148" s="65"/>
      <c r="BW148" s="65"/>
      <c r="BX148" s="65"/>
      <c r="BY148" s="65"/>
      <c r="BZ148" s="65"/>
      <c r="CA148" s="65"/>
      <c r="CB148" s="65"/>
      <c r="CC148" s="65"/>
      <c r="CD148" s="65"/>
      <c r="CE148" s="65"/>
      <c r="CF148" s="65"/>
      <c r="CG148" s="65"/>
      <c r="CH148" s="65"/>
      <c r="CI148" s="65"/>
      <c r="CJ148" s="65"/>
      <c r="CK148" s="65"/>
      <c r="CL148" s="65"/>
      <c r="CM148" s="65"/>
      <c r="CN148" s="65"/>
      <c r="CO148" s="65"/>
      <c r="CP148" s="65"/>
      <c r="CQ148" s="65"/>
      <c r="CR148" s="65"/>
      <c r="CS148" s="65"/>
      <c r="CT148" s="65"/>
      <c r="CU148" s="65"/>
      <c r="CV148" s="65"/>
      <c r="CW148" s="65"/>
      <c r="CX148" s="65"/>
    </row>
    <row r="149" spans="1:102" s="6" customForma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/>
      <c r="BI149" s="65"/>
      <c r="BJ149" s="65"/>
      <c r="BK149" s="65"/>
      <c r="BL149" s="65"/>
      <c r="BM149" s="65"/>
      <c r="BN149" s="65"/>
      <c r="BO149" s="65"/>
      <c r="BP149" s="65"/>
      <c r="BQ149" s="65"/>
      <c r="BR149" s="65"/>
      <c r="BS149" s="65"/>
      <c r="BT149" s="65"/>
      <c r="BU149" s="65"/>
      <c r="BV149" s="65"/>
      <c r="BW149" s="65"/>
      <c r="BX149" s="65"/>
      <c r="BY149" s="65"/>
      <c r="BZ149" s="65"/>
      <c r="CA149" s="65"/>
      <c r="CB149" s="65"/>
      <c r="CC149" s="65"/>
      <c r="CD149" s="65"/>
      <c r="CE149" s="65"/>
      <c r="CF149" s="65"/>
      <c r="CG149" s="65"/>
      <c r="CH149" s="65"/>
      <c r="CI149" s="65"/>
      <c r="CJ149" s="65"/>
      <c r="CK149" s="65"/>
      <c r="CL149" s="65"/>
      <c r="CM149" s="65"/>
      <c r="CN149" s="65"/>
      <c r="CO149" s="65"/>
      <c r="CP149" s="65"/>
      <c r="CQ149" s="65"/>
      <c r="CR149" s="65"/>
      <c r="CS149" s="65"/>
      <c r="CT149" s="65"/>
      <c r="CU149" s="65"/>
      <c r="CV149" s="65"/>
      <c r="CW149" s="65"/>
      <c r="CX149" s="65"/>
    </row>
    <row r="150" spans="1:102" s="6" customForma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  <c r="BM150" s="65"/>
      <c r="BN150" s="65"/>
      <c r="BO150" s="65"/>
      <c r="BP150" s="65"/>
      <c r="BQ150" s="65"/>
      <c r="BR150" s="65"/>
      <c r="BS150" s="65"/>
      <c r="BT150" s="65"/>
      <c r="BU150" s="65"/>
      <c r="BV150" s="65"/>
      <c r="BW150" s="65"/>
      <c r="BX150" s="65"/>
      <c r="BY150" s="65"/>
      <c r="BZ150" s="65"/>
      <c r="CA150" s="65"/>
      <c r="CB150" s="65"/>
      <c r="CC150" s="65"/>
      <c r="CD150" s="65"/>
      <c r="CE150" s="65"/>
      <c r="CF150" s="65"/>
      <c r="CG150" s="65"/>
      <c r="CH150" s="65"/>
      <c r="CI150" s="65"/>
      <c r="CJ150" s="65"/>
      <c r="CK150" s="65"/>
      <c r="CL150" s="65"/>
      <c r="CM150" s="65"/>
      <c r="CN150" s="65"/>
      <c r="CO150" s="65"/>
      <c r="CP150" s="65"/>
      <c r="CQ150" s="65"/>
      <c r="CR150" s="65"/>
      <c r="CS150" s="65"/>
      <c r="CT150" s="65"/>
      <c r="CU150" s="65"/>
      <c r="CV150" s="65"/>
      <c r="CW150" s="65"/>
      <c r="CX150" s="65"/>
    </row>
    <row r="151" spans="1:102" s="6" customForma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  <c r="BE151" s="65"/>
      <c r="BF151" s="65"/>
      <c r="BG151" s="65"/>
      <c r="BH151" s="65"/>
      <c r="BI151" s="65"/>
      <c r="BJ151" s="65"/>
      <c r="BK151" s="65"/>
      <c r="BL151" s="65"/>
      <c r="BM151" s="65"/>
      <c r="BN151" s="65"/>
      <c r="BO151" s="65"/>
      <c r="BP151" s="65"/>
      <c r="BQ151" s="65"/>
      <c r="BR151" s="65"/>
      <c r="BS151" s="65"/>
      <c r="BT151" s="65"/>
      <c r="BU151" s="65"/>
      <c r="BV151" s="65"/>
      <c r="BW151" s="65"/>
      <c r="BX151" s="65"/>
      <c r="BY151" s="65"/>
      <c r="BZ151" s="65"/>
      <c r="CA151" s="65"/>
      <c r="CB151" s="65"/>
      <c r="CC151" s="65"/>
      <c r="CD151" s="65"/>
      <c r="CE151" s="65"/>
      <c r="CF151" s="65"/>
      <c r="CG151" s="65"/>
      <c r="CH151" s="65"/>
      <c r="CI151" s="65"/>
      <c r="CJ151" s="65"/>
      <c r="CK151" s="65"/>
      <c r="CL151" s="65"/>
      <c r="CM151" s="65"/>
      <c r="CN151" s="65"/>
      <c r="CO151" s="65"/>
      <c r="CP151" s="65"/>
      <c r="CQ151" s="65"/>
      <c r="CR151" s="65"/>
      <c r="CS151" s="65"/>
      <c r="CT151" s="65"/>
      <c r="CU151" s="65"/>
      <c r="CV151" s="65"/>
      <c r="CW151" s="65"/>
      <c r="CX151" s="65"/>
    </row>
    <row r="152" spans="1:102" s="6" customForma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  <c r="BE152" s="65"/>
      <c r="BF152" s="65"/>
      <c r="BG152" s="65"/>
      <c r="BH152" s="65"/>
      <c r="BI152" s="65"/>
      <c r="BJ152" s="65"/>
      <c r="BK152" s="65"/>
      <c r="BL152" s="65"/>
      <c r="BM152" s="65"/>
      <c r="BN152" s="65"/>
      <c r="BO152" s="65"/>
      <c r="BP152" s="65"/>
      <c r="BQ152" s="65"/>
      <c r="BR152" s="65"/>
      <c r="BS152" s="65"/>
      <c r="BT152" s="65"/>
      <c r="BU152" s="65"/>
      <c r="BV152" s="65"/>
      <c r="BW152" s="65"/>
      <c r="BX152" s="65"/>
      <c r="BY152" s="65"/>
      <c r="BZ152" s="65"/>
      <c r="CA152" s="65"/>
      <c r="CB152" s="65"/>
      <c r="CC152" s="65"/>
      <c r="CD152" s="65"/>
      <c r="CE152" s="65"/>
      <c r="CF152" s="65"/>
      <c r="CG152" s="65"/>
      <c r="CH152" s="65"/>
      <c r="CI152" s="65"/>
      <c r="CJ152" s="65"/>
      <c r="CK152" s="65"/>
      <c r="CL152" s="65"/>
      <c r="CM152" s="65"/>
      <c r="CN152" s="65"/>
      <c r="CO152" s="65"/>
      <c r="CP152" s="65"/>
      <c r="CQ152" s="65"/>
      <c r="CR152" s="65"/>
      <c r="CS152" s="65"/>
      <c r="CT152" s="65"/>
      <c r="CU152" s="65"/>
      <c r="CV152" s="65"/>
      <c r="CW152" s="65"/>
      <c r="CX152" s="65"/>
    </row>
    <row r="153" spans="1:102" s="6" customForma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  <c r="BE153" s="65"/>
      <c r="BF153" s="65"/>
      <c r="BG153" s="65"/>
      <c r="BH153" s="65"/>
      <c r="BI153" s="65"/>
      <c r="BJ153" s="65"/>
      <c r="BK153" s="65"/>
      <c r="BL153" s="65"/>
      <c r="BM153" s="65"/>
      <c r="BN153" s="65"/>
      <c r="BO153" s="65"/>
      <c r="BP153" s="65"/>
      <c r="BQ153" s="65"/>
      <c r="BR153" s="65"/>
      <c r="BS153" s="65"/>
      <c r="BT153" s="65"/>
      <c r="BU153" s="65"/>
      <c r="BV153" s="65"/>
      <c r="BW153" s="65"/>
      <c r="BX153" s="65"/>
      <c r="BY153" s="65"/>
      <c r="BZ153" s="65"/>
      <c r="CA153" s="65"/>
      <c r="CB153" s="65"/>
      <c r="CC153" s="65"/>
      <c r="CD153" s="65"/>
      <c r="CE153" s="65"/>
      <c r="CF153" s="65"/>
      <c r="CG153" s="65"/>
      <c r="CH153" s="65"/>
      <c r="CI153" s="65"/>
      <c r="CJ153" s="65"/>
      <c r="CK153" s="65"/>
      <c r="CL153" s="65"/>
      <c r="CM153" s="65"/>
      <c r="CN153" s="65"/>
      <c r="CO153" s="65"/>
      <c r="CP153" s="65"/>
      <c r="CQ153" s="65"/>
      <c r="CR153" s="65"/>
      <c r="CS153" s="65"/>
      <c r="CT153" s="65"/>
      <c r="CU153" s="65"/>
      <c r="CV153" s="65"/>
      <c r="CW153" s="65"/>
      <c r="CX153" s="65"/>
    </row>
    <row r="154" spans="1:102" s="6" customForma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  <c r="BE154" s="65"/>
      <c r="BF154" s="65"/>
      <c r="BG154" s="65"/>
      <c r="BH154" s="65"/>
      <c r="BI154" s="65"/>
      <c r="BJ154" s="65"/>
      <c r="BK154" s="65"/>
      <c r="BL154" s="65"/>
      <c r="BM154" s="65"/>
      <c r="BN154" s="65"/>
      <c r="BO154" s="65"/>
      <c r="BP154" s="65"/>
      <c r="BQ154" s="65"/>
      <c r="BR154" s="65"/>
      <c r="BS154" s="65"/>
      <c r="BT154" s="65"/>
      <c r="BU154" s="65"/>
      <c r="BV154" s="65"/>
      <c r="BW154" s="65"/>
      <c r="BX154" s="65"/>
      <c r="BY154" s="65"/>
      <c r="BZ154" s="65"/>
      <c r="CA154" s="65"/>
      <c r="CB154" s="65"/>
      <c r="CC154" s="65"/>
      <c r="CD154" s="65"/>
      <c r="CE154" s="65"/>
      <c r="CF154" s="65"/>
      <c r="CG154" s="65"/>
      <c r="CH154" s="65"/>
      <c r="CI154" s="65"/>
      <c r="CJ154" s="65"/>
      <c r="CK154" s="65"/>
      <c r="CL154" s="65"/>
      <c r="CM154" s="65"/>
      <c r="CN154" s="65"/>
      <c r="CO154" s="65"/>
      <c r="CP154" s="65"/>
      <c r="CQ154" s="65"/>
      <c r="CR154" s="65"/>
      <c r="CS154" s="65"/>
      <c r="CT154" s="65"/>
      <c r="CU154" s="65"/>
      <c r="CV154" s="65"/>
      <c r="CW154" s="65"/>
      <c r="CX154" s="65"/>
    </row>
    <row r="155" spans="1:102" s="6" customForma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  <c r="BE155" s="65"/>
      <c r="BF155" s="65"/>
      <c r="BG155" s="65"/>
      <c r="BH155" s="65"/>
      <c r="BI155" s="65"/>
      <c r="BJ155" s="65"/>
      <c r="BK155" s="65"/>
      <c r="BL155" s="65"/>
      <c r="BM155" s="65"/>
      <c r="BN155" s="65"/>
      <c r="BO155" s="65"/>
      <c r="BP155" s="65"/>
      <c r="BQ155" s="65"/>
      <c r="BR155" s="65"/>
      <c r="BS155" s="65"/>
      <c r="BT155" s="65"/>
      <c r="BU155" s="65"/>
      <c r="BV155" s="65"/>
      <c r="BW155" s="65"/>
      <c r="BX155" s="65"/>
      <c r="BY155" s="65"/>
      <c r="BZ155" s="65"/>
      <c r="CA155" s="65"/>
      <c r="CB155" s="65"/>
      <c r="CC155" s="65"/>
      <c r="CD155" s="65"/>
      <c r="CE155" s="65"/>
      <c r="CF155" s="65"/>
      <c r="CG155" s="65"/>
      <c r="CH155" s="65"/>
      <c r="CI155" s="65"/>
      <c r="CJ155" s="65"/>
      <c r="CK155" s="65"/>
      <c r="CL155" s="65"/>
      <c r="CM155" s="65"/>
      <c r="CN155" s="65"/>
      <c r="CO155" s="65"/>
      <c r="CP155" s="65"/>
      <c r="CQ155" s="65"/>
      <c r="CR155" s="65"/>
      <c r="CS155" s="65"/>
      <c r="CT155" s="65"/>
      <c r="CU155" s="65"/>
      <c r="CV155" s="65"/>
      <c r="CW155" s="65"/>
      <c r="CX155" s="65"/>
    </row>
    <row r="156" spans="1:102" s="6" customForma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5"/>
      <c r="BK156" s="65"/>
      <c r="BL156" s="65"/>
      <c r="BM156" s="65"/>
      <c r="BN156" s="65"/>
      <c r="BO156" s="65"/>
      <c r="BP156" s="65"/>
      <c r="BQ156" s="65"/>
      <c r="BR156" s="65"/>
      <c r="BS156" s="65"/>
      <c r="BT156" s="65"/>
      <c r="BU156" s="65"/>
      <c r="BV156" s="65"/>
      <c r="BW156" s="65"/>
      <c r="BX156" s="65"/>
      <c r="BY156" s="65"/>
      <c r="BZ156" s="65"/>
      <c r="CA156" s="65"/>
      <c r="CB156" s="65"/>
      <c r="CC156" s="65"/>
      <c r="CD156" s="65"/>
      <c r="CE156" s="65"/>
      <c r="CF156" s="65"/>
      <c r="CG156" s="65"/>
      <c r="CH156" s="65"/>
      <c r="CI156" s="65"/>
      <c r="CJ156" s="65"/>
      <c r="CK156" s="65"/>
      <c r="CL156" s="65"/>
      <c r="CM156" s="65"/>
      <c r="CN156" s="65"/>
      <c r="CO156" s="65"/>
      <c r="CP156" s="65"/>
      <c r="CQ156" s="65"/>
      <c r="CR156" s="65"/>
      <c r="CS156" s="65"/>
      <c r="CT156" s="65"/>
      <c r="CU156" s="65"/>
      <c r="CV156" s="65"/>
      <c r="CW156" s="65"/>
      <c r="CX156" s="65"/>
    </row>
    <row r="157" spans="1:102" s="6" customForma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  <c r="BD157" s="65"/>
      <c r="BE157" s="65"/>
      <c r="BF157" s="65"/>
      <c r="BG157" s="65"/>
      <c r="BH157" s="65"/>
      <c r="BI157" s="65"/>
      <c r="BJ157" s="65"/>
      <c r="BK157" s="65"/>
      <c r="BL157" s="65"/>
      <c r="BM157" s="65"/>
      <c r="BN157" s="65"/>
      <c r="BO157" s="65"/>
      <c r="BP157" s="65"/>
      <c r="BQ157" s="65"/>
      <c r="BR157" s="65"/>
      <c r="BS157" s="65"/>
      <c r="BT157" s="65"/>
      <c r="BU157" s="65"/>
      <c r="BV157" s="65"/>
      <c r="BW157" s="65"/>
      <c r="BX157" s="65"/>
      <c r="BY157" s="65"/>
      <c r="BZ157" s="65"/>
      <c r="CA157" s="65"/>
      <c r="CB157" s="65"/>
      <c r="CC157" s="65"/>
      <c r="CD157" s="65"/>
      <c r="CE157" s="65"/>
      <c r="CF157" s="65"/>
      <c r="CG157" s="65"/>
      <c r="CH157" s="65"/>
      <c r="CI157" s="65"/>
      <c r="CJ157" s="65"/>
      <c r="CK157" s="65"/>
      <c r="CL157" s="65"/>
      <c r="CM157" s="65"/>
      <c r="CN157" s="65"/>
      <c r="CO157" s="65"/>
      <c r="CP157" s="65"/>
      <c r="CQ157" s="65"/>
      <c r="CR157" s="65"/>
      <c r="CS157" s="65"/>
      <c r="CT157" s="65"/>
      <c r="CU157" s="65"/>
      <c r="CV157" s="65"/>
      <c r="CW157" s="65"/>
      <c r="CX157" s="65"/>
    </row>
    <row r="158" spans="1:102" s="6" customForma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5"/>
      <c r="BK158" s="65"/>
      <c r="BL158" s="65"/>
      <c r="BM158" s="65"/>
      <c r="BN158" s="65"/>
      <c r="BO158" s="65"/>
      <c r="BP158" s="65"/>
      <c r="BQ158" s="65"/>
      <c r="BR158" s="65"/>
      <c r="BS158" s="65"/>
      <c r="BT158" s="65"/>
      <c r="BU158" s="65"/>
      <c r="BV158" s="65"/>
      <c r="BW158" s="65"/>
      <c r="BX158" s="65"/>
      <c r="BY158" s="65"/>
      <c r="BZ158" s="65"/>
      <c r="CA158" s="65"/>
      <c r="CB158" s="65"/>
      <c r="CC158" s="65"/>
      <c r="CD158" s="65"/>
      <c r="CE158" s="65"/>
      <c r="CF158" s="65"/>
      <c r="CG158" s="65"/>
      <c r="CH158" s="65"/>
      <c r="CI158" s="65"/>
      <c r="CJ158" s="65"/>
      <c r="CK158" s="65"/>
      <c r="CL158" s="65"/>
      <c r="CM158" s="65"/>
      <c r="CN158" s="65"/>
      <c r="CO158" s="65"/>
      <c r="CP158" s="65"/>
      <c r="CQ158" s="65"/>
      <c r="CR158" s="65"/>
      <c r="CS158" s="65"/>
      <c r="CT158" s="65"/>
      <c r="CU158" s="65"/>
      <c r="CV158" s="65"/>
      <c r="CW158" s="65"/>
      <c r="CX158" s="65"/>
    </row>
    <row r="159" spans="1:102" s="6" customForma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  <c r="BJ159" s="65"/>
      <c r="BK159" s="65"/>
      <c r="BL159" s="65"/>
      <c r="BM159" s="65"/>
      <c r="BN159" s="65"/>
      <c r="BO159" s="65"/>
      <c r="BP159" s="65"/>
      <c r="BQ159" s="65"/>
      <c r="BR159" s="65"/>
      <c r="BS159" s="65"/>
      <c r="BT159" s="65"/>
      <c r="BU159" s="65"/>
      <c r="BV159" s="65"/>
      <c r="BW159" s="65"/>
      <c r="BX159" s="65"/>
      <c r="BY159" s="65"/>
      <c r="BZ159" s="65"/>
      <c r="CA159" s="65"/>
      <c r="CB159" s="65"/>
      <c r="CC159" s="65"/>
      <c r="CD159" s="65"/>
      <c r="CE159" s="65"/>
      <c r="CF159" s="65"/>
      <c r="CG159" s="65"/>
      <c r="CH159" s="65"/>
      <c r="CI159" s="65"/>
      <c r="CJ159" s="65"/>
      <c r="CK159" s="65"/>
      <c r="CL159" s="65"/>
      <c r="CM159" s="65"/>
      <c r="CN159" s="65"/>
      <c r="CO159" s="65"/>
      <c r="CP159" s="65"/>
      <c r="CQ159" s="65"/>
      <c r="CR159" s="65"/>
      <c r="CS159" s="65"/>
      <c r="CT159" s="65"/>
      <c r="CU159" s="65"/>
      <c r="CV159" s="65"/>
      <c r="CW159" s="65"/>
      <c r="CX159" s="65"/>
    </row>
    <row r="160" spans="1:102" s="6" customForma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65"/>
      <c r="BI160" s="65"/>
      <c r="BJ160" s="65"/>
      <c r="BK160" s="65"/>
      <c r="BL160" s="65"/>
      <c r="BM160" s="65"/>
      <c r="BN160" s="65"/>
      <c r="BO160" s="65"/>
      <c r="BP160" s="65"/>
      <c r="BQ160" s="65"/>
      <c r="BR160" s="65"/>
      <c r="BS160" s="65"/>
      <c r="BT160" s="65"/>
      <c r="BU160" s="65"/>
      <c r="BV160" s="65"/>
      <c r="BW160" s="65"/>
      <c r="BX160" s="65"/>
      <c r="BY160" s="65"/>
      <c r="BZ160" s="65"/>
      <c r="CA160" s="65"/>
      <c r="CB160" s="65"/>
      <c r="CC160" s="65"/>
      <c r="CD160" s="65"/>
      <c r="CE160" s="65"/>
      <c r="CF160" s="65"/>
      <c r="CG160" s="65"/>
      <c r="CH160" s="65"/>
      <c r="CI160" s="65"/>
      <c r="CJ160" s="65"/>
      <c r="CK160" s="65"/>
      <c r="CL160" s="65"/>
      <c r="CM160" s="65"/>
      <c r="CN160" s="65"/>
      <c r="CO160" s="65"/>
      <c r="CP160" s="65"/>
      <c r="CQ160" s="65"/>
      <c r="CR160" s="65"/>
      <c r="CS160" s="65"/>
      <c r="CT160" s="65"/>
      <c r="CU160" s="65"/>
      <c r="CV160" s="65"/>
      <c r="CW160" s="65"/>
      <c r="CX160" s="65"/>
    </row>
    <row r="161" spans="1:102" s="6" customForma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  <c r="BE161" s="65"/>
      <c r="BF161" s="65"/>
      <c r="BG161" s="65"/>
      <c r="BH161" s="65"/>
      <c r="BI161" s="65"/>
      <c r="BJ161" s="65"/>
      <c r="BK161" s="65"/>
      <c r="BL161" s="65"/>
      <c r="BM161" s="65"/>
      <c r="BN161" s="65"/>
      <c r="BO161" s="65"/>
      <c r="BP161" s="65"/>
      <c r="BQ161" s="65"/>
      <c r="BR161" s="65"/>
      <c r="BS161" s="65"/>
      <c r="BT161" s="65"/>
      <c r="BU161" s="65"/>
      <c r="BV161" s="65"/>
      <c r="BW161" s="65"/>
      <c r="BX161" s="65"/>
      <c r="BY161" s="65"/>
      <c r="BZ161" s="65"/>
      <c r="CA161" s="65"/>
      <c r="CB161" s="65"/>
      <c r="CC161" s="65"/>
      <c r="CD161" s="65"/>
      <c r="CE161" s="65"/>
      <c r="CF161" s="65"/>
      <c r="CG161" s="65"/>
      <c r="CH161" s="65"/>
      <c r="CI161" s="65"/>
      <c r="CJ161" s="65"/>
      <c r="CK161" s="65"/>
      <c r="CL161" s="65"/>
      <c r="CM161" s="65"/>
      <c r="CN161" s="65"/>
      <c r="CO161" s="65"/>
      <c r="CP161" s="65"/>
      <c r="CQ161" s="65"/>
      <c r="CR161" s="65"/>
      <c r="CS161" s="65"/>
      <c r="CT161" s="65"/>
      <c r="CU161" s="65"/>
      <c r="CV161" s="65"/>
      <c r="CW161" s="65"/>
      <c r="CX161" s="65"/>
    </row>
    <row r="162" spans="1:102" s="6" customForma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  <c r="BE162" s="65"/>
      <c r="BF162" s="65"/>
      <c r="BG162" s="65"/>
      <c r="BH162" s="65"/>
      <c r="BI162" s="65"/>
      <c r="BJ162" s="65"/>
      <c r="BK162" s="65"/>
      <c r="BL162" s="65"/>
      <c r="BM162" s="65"/>
      <c r="BN162" s="65"/>
      <c r="BO162" s="65"/>
      <c r="BP162" s="65"/>
      <c r="BQ162" s="65"/>
      <c r="BR162" s="65"/>
      <c r="BS162" s="65"/>
      <c r="BT162" s="65"/>
      <c r="BU162" s="65"/>
      <c r="BV162" s="65"/>
      <c r="BW162" s="65"/>
      <c r="BX162" s="65"/>
      <c r="BY162" s="65"/>
      <c r="BZ162" s="65"/>
      <c r="CA162" s="65"/>
      <c r="CB162" s="65"/>
      <c r="CC162" s="65"/>
      <c r="CD162" s="65"/>
      <c r="CE162" s="65"/>
      <c r="CF162" s="65"/>
      <c r="CG162" s="65"/>
      <c r="CH162" s="65"/>
      <c r="CI162" s="65"/>
      <c r="CJ162" s="65"/>
      <c r="CK162" s="65"/>
      <c r="CL162" s="65"/>
      <c r="CM162" s="65"/>
      <c r="CN162" s="65"/>
      <c r="CO162" s="65"/>
      <c r="CP162" s="65"/>
      <c r="CQ162" s="65"/>
      <c r="CR162" s="65"/>
      <c r="CS162" s="65"/>
      <c r="CT162" s="65"/>
      <c r="CU162" s="65"/>
      <c r="CV162" s="65"/>
      <c r="CW162" s="65"/>
      <c r="CX162" s="65"/>
    </row>
    <row r="163" spans="1:102" s="6" customForma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  <c r="BD163" s="65"/>
      <c r="BE163" s="65"/>
      <c r="BF163" s="65"/>
      <c r="BG163" s="65"/>
      <c r="BH163" s="65"/>
      <c r="BI163" s="65"/>
      <c r="BJ163" s="65"/>
      <c r="BK163" s="65"/>
      <c r="BL163" s="65"/>
      <c r="BM163" s="65"/>
      <c r="BN163" s="65"/>
      <c r="BO163" s="65"/>
      <c r="BP163" s="65"/>
      <c r="BQ163" s="65"/>
      <c r="BR163" s="65"/>
      <c r="BS163" s="65"/>
      <c r="BT163" s="65"/>
      <c r="BU163" s="65"/>
      <c r="BV163" s="65"/>
      <c r="BW163" s="65"/>
      <c r="BX163" s="65"/>
      <c r="BY163" s="65"/>
      <c r="BZ163" s="65"/>
      <c r="CA163" s="65"/>
      <c r="CB163" s="65"/>
      <c r="CC163" s="65"/>
      <c r="CD163" s="65"/>
      <c r="CE163" s="65"/>
      <c r="CF163" s="65"/>
      <c r="CG163" s="65"/>
      <c r="CH163" s="65"/>
      <c r="CI163" s="65"/>
      <c r="CJ163" s="65"/>
      <c r="CK163" s="65"/>
      <c r="CL163" s="65"/>
      <c r="CM163" s="65"/>
      <c r="CN163" s="65"/>
      <c r="CO163" s="65"/>
      <c r="CP163" s="65"/>
      <c r="CQ163" s="65"/>
      <c r="CR163" s="65"/>
      <c r="CS163" s="65"/>
      <c r="CT163" s="65"/>
      <c r="CU163" s="65"/>
      <c r="CV163" s="65"/>
      <c r="CW163" s="65"/>
      <c r="CX163" s="65"/>
    </row>
    <row r="164" spans="1:102" s="6" customForma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  <c r="BJ164" s="65"/>
      <c r="BK164" s="65"/>
      <c r="BL164" s="65"/>
      <c r="BM164" s="65"/>
      <c r="BN164" s="65"/>
      <c r="BO164" s="65"/>
      <c r="BP164" s="65"/>
      <c r="BQ164" s="65"/>
      <c r="BR164" s="65"/>
      <c r="BS164" s="65"/>
      <c r="BT164" s="65"/>
      <c r="BU164" s="65"/>
      <c r="BV164" s="65"/>
      <c r="BW164" s="65"/>
      <c r="BX164" s="65"/>
      <c r="BY164" s="65"/>
      <c r="BZ164" s="65"/>
      <c r="CA164" s="65"/>
      <c r="CB164" s="65"/>
      <c r="CC164" s="65"/>
      <c r="CD164" s="65"/>
      <c r="CE164" s="65"/>
      <c r="CF164" s="65"/>
      <c r="CG164" s="65"/>
      <c r="CH164" s="65"/>
      <c r="CI164" s="65"/>
      <c r="CJ164" s="65"/>
      <c r="CK164" s="65"/>
      <c r="CL164" s="65"/>
      <c r="CM164" s="65"/>
      <c r="CN164" s="65"/>
      <c r="CO164" s="65"/>
      <c r="CP164" s="65"/>
      <c r="CQ164" s="65"/>
      <c r="CR164" s="65"/>
      <c r="CS164" s="65"/>
      <c r="CT164" s="65"/>
      <c r="CU164" s="65"/>
      <c r="CV164" s="65"/>
      <c r="CW164" s="65"/>
      <c r="CX164" s="65"/>
    </row>
    <row r="165" spans="1:102" s="6" customForma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  <c r="AS165" s="65"/>
      <c r="AT165" s="65"/>
      <c r="AU165" s="65"/>
      <c r="AV165" s="65"/>
      <c r="AW165" s="65"/>
      <c r="AX165" s="65"/>
      <c r="AY165" s="65"/>
      <c r="AZ165" s="65"/>
      <c r="BA165" s="65"/>
      <c r="BB165" s="65"/>
      <c r="BC165" s="65"/>
      <c r="BD165" s="65"/>
      <c r="BE165" s="65"/>
      <c r="BF165" s="65"/>
      <c r="BG165" s="65"/>
      <c r="BH165" s="65"/>
      <c r="BI165" s="65"/>
      <c r="BJ165" s="65"/>
      <c r="BK165" s="65"/>
      <c r="BL165" s="65"/>
      <c r="BM165" s="65"/>
      <c r="BN165" s="65"/>
      <c r="BO165" s="65"/>
      <c r="BP165" s="65"/>
      <c r="BQ165" s="65"/>
      <c r="BR165" s="65"/>
      <c r="BS165" s="65"/>
      <c r="BT165" s="65"/>
      <c r="BU165" s="65"/>
      <c r="BV165" s="65"/>
      <c r="BW165" s="65"/>
      <c r="BX165" s="65"/>
      <c r="BY165" s="65"/>
      <c r="BZ165" s="65"/>
      <c r="CA165" s="65"/>
      <c r="CB165" s="65"/>
      <c r="CC165" s="65"/>
      <c r="CD165" s="65"/>
      <c r="CE165" s="65"/>
      <c r="CF165" s="65"/>
      <c r="CG165" s="65"/>
      <c r="CH165" s="65"/>
      <c r="CI165" s="65"/>
      <c r="CJ165" s="65"/>
      <c r="CK165" s="65"/>
      <c r="CL165" s="65"/>
      <c r="CM165" s="65"/>
      <c r="CN165" s="65"/>
      <c r="CO165" s="65"/>
      <c r="CP165" s="65"/>
      <c r="CQ165" s="65"/>
      <c r="CR165" s="65"/>
      <c r="CS165" s="65"/>
      <c r="CT165" s="65"/>
      <c r="CU165" s="65"/>
      <c r="CV165" s="65"/>
      <c r="CW165" s="65"/>
      <c r="CX165" s="65"/>
    </row>
    <row r="166" spans="1:102" s="6" customForma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5"/>
      <c r="AV166" s="65"/>
      <c r="AW166" s="65"/>
      <c r="AX166" s="65"/>
      <c r="AY166" s="65"/>
      <c r="AZ166" s="65"/>
      <c r="BA166" s="65"/>
      <c r="BB166" s="65"/>
      <c r="BC166" s="65"/>
      <c r="BD166" s="65"/>
      <c r="BE166" s="65"/>
      <c r="BF166" s="65"/>
      <c r="BG166" s="65"/>
      <c r="BH166" s="65"/>
      <c r="BI166" s="65"/>
      <c r="BJ166" s="65"/>
      <c r="BK166" s="65"/>
      <c r="BL166" s="65"/>
      <c r="BM166" s="65"/>
      <c r="BN166" s="65"/>
      <c r="BO166" s="65"/>
      <c r="BP166" s="65"/>
      <c r="BQ166" s="65"/>
      <c r="BR166" s="65"/>
      <c r="BS166" s="65"/>
      <c r="BT166" s="65"/>
      <c r="BU166" s="65"/>
      <c r="BV166" s="65"/>
      <c r="BW166" s="65"/>
      <c r="BX166" s="65"/>
      <c r="BY166" s="65"/>
      <c r="BZ166" s="65"/>
      <c r="CA166" s="65"/>
      <c r="CB166" s="65"/>
      <c r="CC166" s="65"/>
      <c r="CD166" s="65"/>
      <c r="CE166" s="65"/>
      <c r="CF166" s="65"/>
      <c r="CG166" s="65"/>
      <c r="CH166" s="65"/>
      <c r="CI166" s="65"/>
      <c r="CJ166" s="65"/>
      <c r="CK166" s="65"/>
      <c r="CL166" s="65"/>
      <c r="CM166" s="65"/>
      <c r="CN166" s="65"/>
      <c r="CO166" s="65"/>
      <c r="CP166" s="65"/>
      <c r="CQ166" s="65"/>
      <c r="CR166" s="65"/>
      <c r="CS166" s="65"/>
      <c r="CT166" s="65"/>
      <c r="CU166" s="65"/>
      <c r="CV166" s="65"/>
      <c r="CW166" s="65"/>
      <c r="CX166" s="65"/>
    </row>
    <row r="167" spans="1:102" s="6" customForma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65"/>
      <c r="BH167" s="65"/>
      <c r="BI167" s="65"/>
      <c r="BJ167" s="65"/>
      <c r="BK167" s="65"/>
      <c r="BL167" s="65"/>
      <c r="BM167" s="65"/>
      <c r="BN167" s="65"/>
      <c r="BO167" s="65"/>
      <c r="BP167" s="65"/>
      <c r="BQ167" s="65"/>
      <c r="BR167" s="65"/>
      <c r="BS167" s="65"/>
      <c r="BT167" s="65"/>
      <c r="BU167" s="65"/>
      <c r="BV167" s="65"/>
      <c r="BW167" s="65"/>
      <c r="BX167" s="65"/>
      <c r="BY167" s="65"/>
      <c r="BZ167" s="65"/>
      <c r="CA167" s="65"/>
      <c r="CB167" s="65"/>
      <c r="CC167" s="65"/>
      <c r="CD167" s="65"/>
      <c r="CE167" s="65"/>
      <c r="CF167" s="65"/>
      <c r="CG167" s="65"/>
      <c r="CH167" s="65"/>
      <c r="CI167" s="65"/>
      <c r="CJ167" s="65"/>
      <c r="CK167" s="65"/>
      <c r="CL167" s="65"/>
      <c r="CM167" s="65"/>
      <c r="CN167" s="65"/>
      <c r="CO167" s="65"/>
      <c r="CP167" s="65"/>
      <c r="CQ167" s="65"/>
      <c r="CR167" s="65"/>
      <c r="CS167" s="65"/>
      <c r="CT167" s="65"/>
      <c r="CU167" s="65"/>
      <c r="CV167" s="65"/>
      <c r="CW167" s="65"/>
      <c r="CX167" s="65"/>
    </row>
    <row r="168" spans="1:102" s="6" customForma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  <c r="BE168" s="65"/>
      <c r="BF168" s="65"/>
      <c r="BG168" s="65"/>
      <c r="BH168" s="65"/>
      <c r="BI168" s="65"/>
      <c r="BJ168" s="65"/>
      <c r="BK168" s="65"/>
      <c r="BL168" s="65"/>
      <c r="BM168" s="65"/>
      <c r="BN168" s="65"/>
      <c r="BO168" s="65"/>
      <c r="BP168" s="65"/>
      <c r="BQ168" s="65"/>
      <c r="BR168" s="65"/>
      <c r="BS168" s="65"/>
      <c r="BT168" s="65"/>
      <c r="BU168" s="65"/>
      <c r="BV168" s="65"/>
      <c r="BW168" s="65"/>
      <c r="BX168" s="65"/>
      <c r="BY168" s="65"/>
      <c r="BZ168" s="65"/>
      <c r="CA168" s="65"/>
      <c r="CB168" s="65"/>
      <c r="CC168" s="65"/>
      <c r="CD168" s="65"/>
      <c r="CE168" s="65"/>
      <c r="CF168" s="65"/>
      <c r="CG168" s="65"/>
      <c r="CH168" s="65"/>
      <c r="CI168" s="65"/>
      <c r="CJ168" s="65"/>
      <c r="CK168" s="65"/>
      <c r="CL168" s="65"/>
      <c r="CM168" s="65"/>
      <c r="CN168" s="65"/>
      <c r="CO168" s="65"/>
      <c r="CP168" s="65"/>
      <c r="CQ168" s="65"/>
      <c r="CR168" s="65"/>
      <c r="CS168" s="65"/>
      <c r="CT168" s="65"/>
      <c r="CU168" s="65"/>
      <c r="CV168" s="65"/>
      <c r="CW168" s="65"/>
      <c r="CX168" s="65"/>
    </row>
    <row r="169" spans="1:102" s="6" customForma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5"/>
      <c r="BB169" s="65"/>
      <c r="BC169" s="65"/>
      <c r="BD169" s="65"/>
      <c r="BE169" s="65"/>
      <c r="BF169" s="65"/>
      <c r="BG169" s="65"/>
      <c r="BH169" s="65"/>
      <c r="BI169" s="65"/>
      <c r="BJ169" s="65"/>
      <c r="BK169" s="65"/>
      <c r="BL169" s="65"/>
      <c r="BM169" s="65"/>
      <c r="BN169" s="65"/>
      <c r="BO169" s="65"/>
      <c r="BP169" s="65"/>
      <c r="BQ169" s="65"/>
      <c r="BR169" s="65"/>
      <c r="BS169" s="65"/>
      <c r="BT169" s="65"/>
      <c r="BU169" s="65"/>
      <c r="BV169" s="65"/>
      <c r="BW169" s="65"/>
      <c r="BX169" s="65"/>
      <c r="BY169" s="65"/>
      <c r="BZ169" s="65"/>
      <c r="CA169" s="65"/>
      <c r="CB169" s="65"/>
      <c r="CC169" s="65"/>
      <c r="CD169" s="65"/>
      <c r="CE169" s="65"/>
      <c r="CF169" s="65"/>
      <c r="CG169" s="65"/>
      <c r="CH169" s="65"/>
      <c r="CI169" s="65"/>
      <c r="CJ169" s="65"/>
      <c r="CK169" s="65"/>
      <c r="CL169" s="65"/>
      <c r="CM169" s="65"/>
      <c r="CN169" s="65"/>
      <c r="CO169" s="65"/>
      <c r="CP169" s="65"/>
      <c r="CQ169" s="65"/>
      <c r="CR169" s="65"/>
      <c r="CS169" s="65"/>
      <c r="CT169" s="65"/>
      <c r="CU169" s="65"/>
      <c r="CV169" s="65"/>
      <c r="CW169" s="65"/>
      <c r="CX169" s="65"/>
    </row>
    <row r="170" spans="1:102" s="6" customForma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  <c r="BE170" s="65"/>
      <c r="BF170" s="65"/>
      <c r="BG170" s="65"/>
      <c r="BH170" s="65"/>
      <c r="BI170" s="65"/>
      <c r="BJ170" s="65"/>
      <c r="BK170" s="65"/>
      <c r="BL170" s="65"/>
      <c r="BM170" s="65"/>
      <c r="BN170" s="65"/>
      <c r="BO170" s="65"/>
      <c r="BP170" s="65"/>
      <c r="BQ170" s="65"/>
      <c r="BR170" s="65"/>
      <c r="BS170" s="65"/>
      <c r="BT170" s="65"/>
      <c r="BU170" s="65"/>
      <c r="BV170" s="65"/>
      <c r="BW170" s="65"/>
      <c r="BX170" s="65"/>
      <c r="BY170" s="65"/>
      <c r="BZ170" s="65"/>
      <c r="CA170" s="65"/>
      <c r="CB170" s="65"/>
      <c r="CC170" s="65"/>
      <c r="CD170" s="65"/>
      <c r="CE170" s="65"/>
      <c r="CF170" s="65"/>
      <c r="CG170" s="65"/>
      <c r="CH170" s="65"/>
      <c r="CI170" s="65"/>
      <c r="CJ170" s="65"/>
      <c r="CK170" s="65"/>
      <c r="CL170" s="65"/>
      <c r="CM170" s="65"/>
      <c r="CN170" s="65"/>
      <c r="CO170" s="65"/>
      <c r="CP170" s="65"/>
      <c r="CQ170" s="65"/>
      <c r="CR170" s="65"/>
      <c r="CS170" s="65"/>
      <c r="CT170" s="65"/>
      <c r="CU170" s="65"/>
      <c r="CV170" s="65"/>
      <c r="CW170" s="65"/>
      <c r="CX170" s="65"/>
    </row>
    <row r="171" spans="1:102" s="6" customForma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65"/>
      <c r="BD171" s="65"/>
      <c r="BE171" s="65"/>
      <c r="BF171" s="65"/>
      <c r="BG171" s="65"/>
      <c r="BH171" s="65"/>
      <c r="BI171" s="65"/>
      <c r="BJ171" s="65"/>
      <c r="BK171" s="65"/>
      <c r="BL171" s="65"/>
      <c r="BM171" s="65"/>
      <c r="BN171" s="65"/>
      <c r="BO171" s="65"/>
      <c r="BP171" s="65"/>
      <c r="BQ171" s="65"/>
      <c r="BR171" s="65"/>
      <c r="BS171" s="65"/>
      <c r="BT171" s="65"/>
      <c r="BU171" s="65"/>
      <c r="BV171" s="65"/>
      <c r="BW171" s="65"/>
      <c r="BX171" s="65"/>
      <c r="BY171" s="65"/>
      <c r="BZ171" s="65"/>
      <c r="CA171" s="65"/>
      <c r="CB171" s="65"/>
      <c r="CC171" s="65"/>
      <c r="CD171" s="65"/>
      <c r="CE171" s="65"/>
      <c r="CF171" s="65"/>
      <c r="CG171" s="65"/>
      <c r="CH171" s="65"/>
      <c r="CI171" s="65"/>
      <c r="CJ171" s="65"/>
      <c r="CK171" s="65"/>
      <c r="CL171" s="65"/>
      <c r="CM171" s="65"/>
      <c r="CN171" s="65"/>
      <c r="CO171" s="65"/>
      <c r="CP171" s="65"/>
      <c r="CQ171" s="65"/>
      <c r="CR171" s="65"/>
      <c r="CS171" s="65"/>
      <c r="CT171" s="65"/>
      <c r="CU171" s="65"/>
      <c r="CV171" s="65"/>
      <c r="CW171" s="65"/>
      <c r="CX171" s="65"/>
    </row>
    <row r="172" spans="1:102" s="6" customForma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  <c r="BD172" s="65"/>
      <c r="BE172" s="65"/>
      <c r="BF172" s="65"/>
      <c r="BG172" s="65"/>
      <c r="BH172" s="65"/>
      <c r="BI172" s="65"/>
      <c r="BJ172" s="65"/>
      <c r="BK172" s="65"/>
      <c r="BL172" s="65"/>
      <c r="BM172" s="65"/>
      <c r="BN172" s="65"/>
      <c r="BO172" s="65"/>
      <c r="BP172" s="65"/>
      <c r="BQ172" s="65"/>
      <c r="BR172" s="65"/>
      <c r="BS172" s="65"/>
      <c r="BT172" s="65"/>
      <c r="BU172" s="65"/>
      <c r="BV172" s="65"/>
      <c r="BW172" s="65"/>
      <c r="BX172" s="65"/>
      <c r="BY172" s="65"/>
      <c r="BZ172" s="65"/>
      <c r="CA172" s="65"/>
      <c r="CB172" s="65"/>
      <c r="CC172" s="65"/>
      <c r="CD172" s="65"/>
      <c r="CE172" s="65"/>
      <c r="CF172" s="65"/>
      <c r="CG172" s="65"/>
      <c r="CH172" s="65"/>
      <c r="CI172" s="65"/>
      <c r="CJ172" s="65"/>
      <c r="CK172" s="65"/>
      <c r="CL172" s="65"/>
      <c r="CM172" s="65"/>
      <c r="CN172" s="65"/>
      <c r="CO172" s="65"/>
      <c r="CP172" s="65"/>
      <c r="CQ172" s="65"/>
      <c r="CR172" s="65"/>
      <c r="CS172" s="65"/>
      <c r="CT172" s="65"/>
      <c r="CU172" s="65"/>
      <c r="CV172" s="65"/>
      <c r="CW172" s="65"/>
      <c r="CX172" s="65"/>
    </row>
    <row r="173" spans="1:102" s="6" customForma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  <c r="BD173" s="65"/>
      <c r="BE173" s="65"/>
      <c r="BF173" s="65"/>
      <c r="BG173" s="65"/>
      <c r="BH173" s="65"/>
      <c r="BI173" s="65"/>
      <c r="BJ173" s="65"/>
      <c r="BK173" s="65"/>
      <c r="BL173" s="65"/>
      <c r="BM173" s="65"/>
      <c r="BN173" s="65"/>
      <c r="BO173" s="65"/>
      <c r="BP173" s="65"/>
      <c r="BQ173" s="65"/>
      <c r="BR173" s="65"/>
      <c r="BS173" s="65"/>
      <c r="BT173" s="65"/>
      <c r="BU173" s="65"/>
      <c r="BV173" s="65"/>
      <c r="BW173" s="65"/>
      <c r="BX173" s="65"/>
      <c r="BY173" s="65"/>
      <c r="BZ173" s="65"/>
      <c r="CA173" s="65"/>
      <c r="CB173" s="65"/>
      <c r="CC173" s="65"/>
      <c r="CD173" s="65"/>
      <c r="CE173" s="65"/>
      <c r="CF173" s="65"/>
      <c r="CG173" s="65"/>
      <c r="CH173" s="65"/>
      <c r="CI173" s="65"/>
      <c r="CJ173" s="65"/>
      <c r="CK173" s="65"/>
      <c r="CL173" s="65"/>
      <c r="CM173" s="65"/>
      <c r="CN173" s="65"/>
      <c r="CO173" s="65"/>
      <c r="CP173" s="65"/>
      <c r="CQ173" s="65"/>
      <c r="CR173" s="65"/>
      <c r="CS173" s="65"/>
      <c r="CT173" s="65"/>
      <c r="CU173" s="65"/>
      <c r="CV173" s="65"/>
      <c r="CW173" s="65"/>
      <c r="CX173" s="65"/>
    </row>
    <row r="174" spans="1:102" s="6" customForma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65"/>
      <c r="BD174" s="65"/>
      <c r="BE174" s="65"/>
      <c r="BF174" s="65"/>
      <c r="BG174" s="65"/>
      <c r="BH174" s="65"/>
      <c r="BI174" s="65"/>
      <c r="BJ174" s="65"/>
      <c r="BK174" s="65"/>
      <c r="BL174" s="65"/>
      <c r="BM174" s="65"/>
      <c r="BN174" s="65"/>
      <c r="BO174" s="65"/>
      <c r="BP174" s="65"/>
      <c r="BQ174" s="65"/>
      <c r="BR174" s="65"/>
      <c r="BS174" s="65"/>
      <c r="BT174" s="65"/>
      <c r="BU174" s="65"/>
      <c r="BV174" s="65"/>
      <c r="BW174" s="65"/>
      <c r="BX174" s="65"/>
      <c r="BY174" s="65"/>
      <c r="BZ174" s="65"/>
      <c r="CA174" s="65"/>
      <c r="CB174" s="65"/>
      <c r="CC174" s="65"/>
      <c r="CD174" s="65"/>
      <c r="CE174" s="65"/>
      <c r="CF174" s="65"/>
      <c r="CG174" s="65"/>
      <c r="CH174" s="65"/>
      <c r="CI174" s="65"/>
      <c r="CJ174" s="65"/>
      <c r="CK174" s="65"/>
      <c r="CL174" s="65"/>
      <c r="CM174" s="65"/>
      <c r="CN174" s="65"/>
      <c r="CO174" s="65"/>
      <c r="CP174" s="65"/>
      <c r="CQ174" s="65"/>
      <c r="CR174" s="65"/>
      <c r="CS174" s="65"/>
      <c r="CT174" s="65"/>
      <c r="CU174" s="65"/>
      <c r="CV174" s="65"/>
      <c r="CW174" s="65"/>
      <c r="CX174" s="65"/>
    </row>
    <row r="175" spans="1:102" s="6" customForma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  <c r="BD175" s="65"/>
      <c r="BE175" s="65"/>
      <c r="BF175" s="65"/>
      <c r="BG175" s="65"/>
      <c r="BH175" s="65"/>
      <c r="BI175" s="65"/>
      <c r="BJ175" s="65"/>
      <c r="BK175" s="65"/>
      <c r="BL175" s="65"/>
      <c r="BM175" s="65"/>
      <c r="BN175" s="65"/>
      <c r="BO175" s="65"/>
      <c r="BP175" s="65"/>
      <c r="BQ175" s="65"/>
      <c r="BR175" s="65"/>
      <c r="BS175" s="65"/>
      <c r="BT175" s="65"/>
      <c r="BU175" s="65"/>
      <c r="BV175" s="65"/>
      <c r="BW175" s="65"/>
      <c r="BX175" s="65"/>
      <c r="BY175" s="65"/>
      <c r="BZ175" s="65"/>
      <c r="CA175" s="65"/>
      <c r="CB175" s="65"/>
      <c r="CC175" s="65"/>
      <c r="CD175" s="65"/>
      <c r="CE175" s="65"/>
      <c r="CF175" s="65"/>
      <c r="CG175" s="65"/>
      <c r="CH175" s="65"/>
      <c r="CI175" s="65"/>
      <c r="CJ175" s="65"/>
      <c r="CK175" s="65"/>
      <c r="CL175" s="65"/>
      <c r="CM175" s="65"/>
      <c r="CN175" s="65"/>
      <c r="CO175" s="65"/>
      <c r="CP175" s="65"/>
      <c r="CQ175" s="65"/>
      <c r="CR175" s="65"/>
      <c r="CS175" s="65"/>
      <c r="CT175" s="65"/>
      <c r="CU175" s="65"/>
      <c r="CV175" s="65"/>
      <c r="CW175" s="65"/>
      <c r="CX175" s="65"/>
    </row>
    <row r="176" spans="1:102" s="6" customForma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  <c r="BE176" s="65"/>
      <c r="BF176" s="65"/>
      <c r="BG176" s="65"/>
      <c r="BH176" s="65"/>
      <c r="BI176" s="65"/>
      <c r="BJ176" s="65"/>
      <c r="BK176" s="65"/>
      <c r="BL176" s="65"/>
      <c r="BM176" s="65"/>
      <c r="BN176" s="65"/>
      <c r="BO176" s="65"/>
      <c r="BP176" s="65"/>
      <c r="BQ176" s="65"/>
      <c r="BR176" s="65"/>
      <c r="BS176" s="65"/>
      <c r="BT176" s="65"/>
      <c r="BU176" s="65"/>
      <c r="BV176" s="65"/>
      <c r="BW176" s="65"/>
      <c r="BX176" s="65"/>
      <c r="BY176" s="65"/>
      <c r="BZ176" s="65"/>
      <c r="CA176" s="65"/>
      <c r="CB176" s="65"/>
      <c r="CC176" s="65"/>
      <c r="CD176" s="65"/>
      <c r="CE176" s="65"/>
      <c r="CF176" s="65"/>
      <c r="CG176" s="65"/>
      <c r="CH176" s="65"/>
      <c r="CI176" s="65"/>
      <c r="CJ176" s="65"/>
      <c r="CK176" s="65"/>
      <c r="CL176" s="65"/>
      <c r="CM176" s="65"/>
      <c r="CN176" s="65"/>
      <c r="CO176" s="65"/>
      <c r="CP176" s="65"/>
      <c r="CQ176" s="65"/>
      <c r="CR176" s="65"/>
      <c r="CS176" s="65"/>
      <c r="CT176" s="65"/>
      <c r="CU176" s="65"/>
      <c r="CV176" s="65"/>
      <c r="CW176" s="65"/>
      <c r="CX176" s="65"/>
    </row>
    <row r="177" spans="1:102" s="6" customForma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65"/>
      <c r="BA177" s="65"/>
      <c r="BB177" s="65"/>
      <c r="BC177" s="65"/>
      <c r="BD177" s="65"/>
      <c r="BE177" s="65"/>
      <c r="BF177" s="65"/>
      <c r="BG177" s="65"/>
      <c r="BH177" s="65"/>
      <c r="BI177" s="65"/>
      <c r="BJ177" s="65"/>
      <c r="BK177" s="65"/>
      <c r="BL177" s="65"/>
      <c r="BM177" s="65"/>
      <c r="BN177" s="65"/>
      <c r="BO177" s="65"/>
      <c r="BP177" s="65"/>
      <c r="BQ177" s="65"/>
      <c r="BR177" s="65"/>
      <c r="BS177" s="65"/>
      <c r="BT177" s="65"/>
      <c r="BU177" s="65"/>
      <c r="BV177" s="65"/>
      <c r="BW177" s="65"/>
      <c r="BX177" s="65"/>
      <c r="BY177" s="65"/>
      <c r="BZ177" s="65"/>
      <c r="CA177" s="65"/>
      <c r="CB177" s="65"/>
      <c r="CC177" s="65"/>
      <c r="CD177" s="65"/>
      <c r="CE177" s="65"/>
      <c r="CF177" s="65"/>
      <c r="CG177" s="65"/>
      <c r="CH177" s="65"/>
      <c r="CI177" s="65"/>
      <c r="CJ177" s="65"/>
      <c r="CK177" s="65"/>
      <c r="CL177" s="65"/>
      <c r="CM177" s="65"/>
      <c r="CN177" s="65"/>
      <c r="CO177" s="65"/>
      <c r="CP177" s="65"/>
      <c r="CQ177" s="65"/>
      <c r="CR177" s="65"/>
      <c r="CS177" s="65"/>
      <c r="CT177" s="65"/>
      <c r="CU177" s="65"/>
      <c r="CV177" s="65"/>
      <c r="CW177" s="65"/>
      <c r="CX177" s="65"/>
    </row>
    <row r="178" spans="1:102" s="6" customForma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  <c r="BD178" s="65"/>
      <c r="BE178" s="65"/>
      <c r="BF178" s="65"/>
      <c r="BG178" s="65"/>
      <c r="BH178" s="65"/>
      <c r="BI178" s="65"/>
      <c r="BJ178" s="65"/>
      <c r="BK178" s="65"/>
      <c r="BL178" s="65"/>
      <c r="BM178" s="65"/>
      <c r="BN178" s="65"/>
      <c r="BO178" s="65"/>
      <c r="BP178" s="65"/>
      <c r="BQ178" s="65"/>
      <c r="BR178" s="65"/>
      <c r="BS178" s="65"/>
      <c r="BT178" s="65"/>
      <c r="BU178" s="65"/>
      <c r="BV178" s="65"/>
      <c r="BW178" s="65"/>
      <c r="BX178" s="65"/>
      <c r="BY178" s="65"/>
      <c r="BZ178" s="65"/>
      <c r="CA178" s="65"/>
      <c r="CB178" s="65"/>
      <c r="CC178" s="65"/>
      <c r="CD178" s="65"/>
      <c r="CE178" s="65"/>
      <c r="CF178" s="65"/>
      <c r="CG178" s="65"/>
      <c r="CH178" s="65"/>
      <c r="CI178" s="65"/>
      <c r="CJ178" s="65"/>
      <c r="CK178" s="65"/>
      <c r="CL178" s="65"/>
      <c r="CM178" s="65"/>
      <c r="CN178" s="65"/>
      <c r="CO178" s="65"/>
      <c r="CP178" s="65"/>
      <c r="CQ178" s="65"/>
      <c r="CR178" s="65"/>
      <c r="CS178" s="65"/>
      <c r="CT178" s="65"/>
      <c r="CU178" s="65"/>
      <c r="CV178" s="65"/>
      <c r="CW178" s="65"/>
      <c r="CX178" s="65"/>
    </row>
    <row r="179" spans="1:102" s="6" customForma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  <c r="BE179" s="65"/>
      <c r="BF179" s="65"/>
      <c r="BG179" s="65"/>
      <c r="BH179" s="65"/>
      <c r="BI179" s="65"/>
      <c r="BJ179" s="65"/>
      <c r="BK179" s="65"/>
      <c r="BL179" s="65"/>
      <c r="BM179" s="65"/>
      <c r="BN179" s="65"/>
      <c r="BO179" s="65"/>
      <c r="BP179" s="65"/>
      <c r="BQ179" s="65"/>
      <c r="BR179" s="65"/>
      <c r="BS179" s="65"/>
      <c r="BT179" s="65"/>
      <c r="BU179" s="65"/>
      <c r="BV179" s="65"/>
      <c r="BW179" s="65"/>
      <c r="BX179" s="65"/>
      <c r="BY179" s="65"/>
      <c r="BZ179" s="65"/>
      <c r="CA179" s="65"/>
      <c r="CB179" s="65"/>
      <c r="CC179" s="65"/>
      <c r="CD179" s="65"/>
      <c r="CE179" s="65"/>
      <c r="CF179" s="65"/>
      <c r="CG179" s="65"/>
      <c r="CH179" s="65"/>
      <c r="CI179" s="65"/>
      <c r="CJ179" s="65"/>
      <c r="CK179" s="65"/>
      <c r="CL179" s="65"/>
      <c r="CM179" s="65"/>
      <c r="CN179" s="65"/>
      <c r="CO179" s="65"/>
      <c r="CP179" s="65"/>
      <c r="CQ179" s="65"/>
      <c r="CR179" s="65"/>
      <c r="CS179" s="65"/>
      <c r="CT179" s="65"/>
      <c r="CU179" s="65"/>
      <c r="CV179" s="65"/>
      <c r="CW179" s="65"/>
      <c r="CX179" s="65"/>
    </row>
    <row r="180" spans="1:102" s="6" customForma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  <c r="BE180" s="65"/>
      <c r="BF180" s="65"/>
      <c r="BG180" s="65"/>
      <c r="BH180" s="65"/>
      <c r="BI180" s="65"/>
      <c r="BJ180" s="65"/>
      <c r="BK180" s="65"/>
      <c r="BL180" s="65"/>
      <c r="BM180" s="65"/>
      <c r="BN180" s="65"/>
      <c r="BO180" s="65"/>
      <c r="BP180" s="65"/>
      <c r="BQ180" s="65"/>
      <c r="BR180" s="65"/>
      <c r="BS180" s="65"/>
      <c r="BT180" s="65"/>
      <c r="BU180" s="65"/>
      <c r="BV180" s="65"/>
      <c r="BW180" s="65"/>
      <c r="BX180" s="65"/>
      <c r="BY180" s="65"/>
      <c r="BZ180" s="65"/>
      <c r="CA180" s="65"/>
      <c r="CB180" s="65"/>
      <c r="CC180" s="65"/>
      <c r="CD180" s="65"/>
      <c r="CE180" s="65"/>
      <c r="CF180" s="65"/>
      <c r="CG180" s="65"/>
      <c r="CH180" s="65"/>
      <c r="CI180" s="65"/>
      <c r="CJ180" s="65"/>
      <c r="CK180" s="65"/>
      <c r="CL180" s="65"/>
      <c r="CM180" s="65"/>
      <c r="CN180" s="65"/>
      <c r="CO180" s="65"/>
      <c r="CP180" s="65"/>
      <c r="CQ180" s="65"/>
      <c r="CR180" s="65"/>
      <c r="CS180" s="65"/>
      <c r="CT180" s="65"/>
      <c r="CU180" s="65"/>
      <c r="CV180" s="65"/>
      <c r="CW180" s="65"/>
      <c r="CX180" s="65"/>
    </row>
    <row r="181" spans="1:102" s="6" customForma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  <c r="BE181" s="65"/>
      <c r="BF181" s="65"/>
      <c r="BG181" s="65"/>
      <c r="BH181" s="65"/>
      <c r="BI181" s="65"/>
      <c r="BJ181" s="65"/>
      <c r="BK181" s="65"/>
      <c r="BL181" s="65"/>
      <c r="BM181" s="65"/>
      <c r="BN181" s="65"/>
      <c r="BO181" s="65"/>
      <c r="BP181" s="65"/>
      <c r="BQ181" s="65"/>
      <c r="BR181" s="65"/>
      <c r="BS181" s="65"/>
      <c r="BT181" s="65"/>
      <c r="BU181" s="65"/>
      <c r="BV181" s="65"/>
      <c r="BW181" s="65"/>
      <c r="BX181" s="65"/>
      <c r="BY181" s="65"/>
      <c r="BZ181" s="65"/>
      <c r="CA181" s="65"/>
      <c r="CB181" s="65"/>
      <c r="CC181" s="65"/>
      <c r="CD181" s="65"/>
      <c r="CE181" s="65"/>
      <c r="CF181" s="65"/>
      <c r="CG181" s="65"/>
      <c r="CH181" s="65"/>
      <c r="CI181" s="65"/>
      <c r="CJ181" s="65"/>
      <c r="CK181" s="65"/>
      <c r="CL181" s="65"/>
      <c r="CM181" s="65"/>
      <c r="CN181" s="65"/>
      <c r="CO181" s="65"/>
      <c r="CP181" s="65"/>
      <c r="CQ181" s="65"/>
      <c r="CR181" s="65"/>
      <c r="CS181" s="65"/>
      <c r="CT181" s="65"/>
      <c r="CU181" s="65"/>
      <c r="CV181" s="65"/>
      <c r="CW181" s="65"/>
      <c r="CX181" s="65"/>
    </row>
    <row r="182" spans="1:102" s="6" customForma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/>
      <c r="BF182" s="65"/>
      <c r="BG182" s="65"/>
      <c r="BH182" s="65"/>
      <c r="BI182" s="65"/>
      <c r="BJ182" s="65"/>
      <c r="BK182" s="65"/>
      <c r="BL182" s="65"/>
      <c r="BM182" s="65"/>
      <c r="BN182" s="65"/>
      <c r="BO182" s="65"/>
      <c r="BP182" s="65"/>
      <c r="BQ182" s="65"/>
      <c r="BR182" s="65"/>
      <c r="BS182" s="65"/>
      <c r="BT182" s="65"/>
      <c r="BU182" s="65"/>
      <c r="BV182" s="65"/>
      <c r="BW182" s="65"/>
      <c r="BX182" s="65"/>
      <c r="BY182" s="65"/>
      <c r="BZ182" s="65"/>
      <c r="CA182" s="65"/>
      <c r="CB182" s="65"/>
      <c r="CC182" s="65"/>
      <c r="CD182" s="65"/>
      <c r="CE182" s="65"/>
      <c r="CF182" s="65"/>
      <c r="CG182" s="65"/>
      <c r="CH182" s="65"/>
      <c r="CI182" s="65"/>
      <c r="CJ182" s="65"/>
      <c r="CK182" s="65"/>
      <c r="CL182" s="65"/>
      <c r="CM182" s="65"/>
      <c r="CN182" s="65"/>
      <c r="CO182" s="65"/>
      <c r="CP182" s="65"/>
      <c r="CQ182" s="65"/>
      <c r="CR182" s="65"/>
      <c r="CS182" s="65"/>
      <c r="CT182" s="65"/>
      <c r="CU182" s="65"/>
      <c r="CV182" s="65"/>
      <c r="CW182" s="65"/>
      <c r="CX182" s="65"/>
    </row>
    <row r="183" spans="1:102" s="6" customForma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  <c r="BD183" s="65"/>
      <c r="BE183" s="65"/>
      <c r="BF183" s="65"/>
      <c r="BG183" s="65"/>
      <c r="BH183" s="65"/>
      <c r="BI183" s="65"/>
      <c r="BJ183" s="65"/>
      <c r="BK183" s="65"/>
      <c r="BL183" s="65"/>
      <c r="BM183" s="65"/>
      <c r="BN183" s="65"/>
      <c r="BO183" s="65"/>
      <c r="BP183" s="65"/>
      <c r="BQ183" s="65"/>
      <c r="BR183" s="65"/>
      <c r="BS183" s="65"/>
      <c r="BT183" s="65"/>
      <c r="BU183" s="65"/>
      <c r="BV183" s="65"/>
      <c r="BW183" s="65"/>
      <c r="BX183" s="65"/>
      <c r="BY183" s="65"/>
      <c r="BZ183" s="65"/>
      <c r="CA183" s="65"/>
      <c r="CB183" s="65"/>
      <c r="CC183" s="65"/>
      <c r="CD183" s="65"/>
      <c r="CE183" s="65"/>
      <c r="CF183" s="65"/>
      <c r="CG183" s="65"/>
      <c r="CH183" s="65"/>
      <c r="CI183" s="65"/>
      <c r="CJ183" s="65"/>
      <c r="CK183" s="65"/>
      <c r="CL183" s="65"/>
      <c r="CM183" s="65"/>
      <c r="CN183" s="65"/>
      <c r="CO183" s="65"/>
      <c r="CP183" s="65"/>
      <c r="CQ183" s="65"/>
      <c r="CR183" s="65"/>
      <c r="CS183" s="65"/>
      <c r="CT183" s="65"/>
      <c r="CU183" s="65"/>
      <c r="CV183" s="65"/>
      <c r="CW183" s="65"/>
      <c r="CX183" s="65"/>
    </row>
    <row r="184" spans="1:102" s="6" customForma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/>
      <c r="BF184" s="65"/>
      <c r="BG184" s="65"/>
      <c r="BH184" s="65"/>
      <c r="BI184" s="65"/>
      <c r="BJ184" s="65"/>
      <c r="BK184" s="65"/>
      <c r="BL184" s="65"/>
      <c r="BM184" s="65"/>
      <c r="BN184" s="65"/>
      <c r="BO184" s="65"/>
      <c r="BP184" s="65"/>
      <c r="BQ184" s="65"/>
      <c r="BR184" s="65"/>
      <c r="BS184" s="65"/>
      <c r="BT184" s="65"/>
      <c r="BU184" s="65"/>
      <c r="BV184" s="65"/>
      <c r="BW184" s="65"/>
      <c r="BX184" s="65"/>
      <c r="BY184" s="65"/>
      <c r="BZ184" s="65"/>
      <c r="CA184" s="65"/>
      <c r="CB184" s="65"/>
      <c r="CC184" s="65"/>
      <c r="CD184" s="65"/>
      <c r="CE184" s="65"/>
      <c r="CF184" s="65"/>
      <c r="CG184" s="65"/>
      <c r="CH184" s="65"/>
      <c r="CI184" s="65"/>
      <c r="CJ184" s="65"/>
      <c r="CK184" s="65"/>
      <c r="CL184" s="65"/>
      <c r="CM184" s="65"/>
      <c r="CN184" s="65"/>
      <c r="CO184" s="65"/>
      <c r="CP184" s="65"/>
      <c r="CQ184" s="65"/>
      <c r="CR184" s="65"/>
      <c r="CS184" s="65"/>
      <c r="CT184" s="65"/>
      <c r="CU184" s="65"/>
      <c r="CV184" s="65"/>
      <c r="CW184" s="65"/>
      <c r="CX184" s="65"/>
    </row>
    <row r="185" spans="1:102" s="6" customForma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  <c r="BD185" s="65"/>
      <c r="BE185" s="65"/>
      <c r="BF185" s="65"/>
      <c r="BG185" s="65"/>
      <c r="BH185" s="65"/>
      <c r="BI185" s="65"/>
      <c r="BJ185" s="65"/>
      <c r="BK185" s="65"/>
      <c r="BL185" s="65"/>
      <c r="BM185" s="65"/>
      <c r="BN185" s="65"/>
      <c r="BO185" s="65"/>
      <c r="BP185" s="65"/>
      <c r="BQ185" s="65"/>
      <c r="BR185" s="65"/>
      <c r="BS185" s="65"/>
      <c r="BT185" s="65"/>
      <c r="BU185" s="65"/>
      <c r="BV185" s="65"/>
      <c r="BW185" s="65"/>
      <c r="BX185" s="65"/>
      <c r="BY185" s="65"/>
      <c r="BZ185" s="65"/>
      <c r="CA185" s="65"/>
      <c r="CB185" s="65"/>
      <c r="CC185" s="65"/>
      <c r="CD185" s="65"/>
      <c r="CE185" s="65"/>
      <c r="CF185" s="65"/>
      <c r="CG185" s="65"/>
      <c r="CH185" s="65"/>
      <c r="CI185" s="65"/>
      <c r="CJ185" s="65"/>
      <c r="CK185" s="65"/>
      <c r="CL185" s="65"/>
      <c r="CM185" s="65"/>
      <c r="CN185" s="65"/>
      <c r="CO185" s="65"/>
      <c r="CP185" s="65"/>
      <c r="CQ185" s="65"/>
      <c r="CR185" s="65"/>
      <c r="CS185" s="65"/>
      <c r="CT185" s="65"/>
      <c r="CU185" s="65"/>
      <c r="CV185" s="65"/>
      <c r="CW185" s="65"/>
      <c r="CX185" s="65"/>
    </row>
    <row r="186" spans="1:102" s="6" customForma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  <c r="BE186" s="65"/>
      <c r="BF186" s="65"/>
      <c r="BG186" s="65"/>
      <c r="BH186" s="65"/>
      <c r="BI186" s="65"/>
      <c r="BJ186" s="65"/>
      <c r="BK186" s="65"/>
      <c r="BL186" s="65"/>
      <c r="BM186" s="65"/>
      <c r="BN186" s="65"/>
      <c r="BO186" s="65"/>
      <c r="BP186" s="65"/>
      <c r="BQ186" s="65"/>
      <c r="BR186" s="65"/>
      <c r="BS186" s="65"/>
      <c r="BT186" s="65"/>
      <c r="BU186" s="65"/>
      <c r="BV186" s="65"/>
      <c r="BW186" s="65"/>
      <c r="BX186" s="65"/>
      <c r="BY186" s="65"/>
      <c r="BZ186" s="65"/>
      <c r="CA186" s="65"/>
      <c r="CB186" s="65"/>
      <c r="CC186" s="65"/>
      <c r="CD186" s="65"/>
      <c r="CE186" s="65"/>
      <c r="CF186" s="65"/>
      <c r="CG186" s="65"/>
      <c r="CH186" s="65"/>
      <c r="CI186" s="65"/>
      <c r="CJ186" s="65"/>
      <c r="CK186" s="65"/>
      <c r="CL186" s="65"/>
      <c r="CM186" s="65"/>
      <c r="CN186" s="65"/>
      <c r="CO186" s="65"/>
      <c r="CP186" s="65"/>
      <c r="CQ186" s="65"/>
      <c r="CR186" s="65"/>
      <c r="CS186" s="65"/>
      <c r="CT186" s="65"/>
      <c r="CU186" s="65"/>
      <c r="CV186" s="65"/>
      <c r="CW186" s="65"/>
      <c r="CX186" s="65"/>
    </row>
    <row r="187" spans="1:102" s="6" customForma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  <c r="BD187" s="65"/>
      <c r="BE187" s="65"/>
      <c r="BF187" s="65"/>
      <c r="BG187" s="65"/>
      <c r="BH187" s="65"/>
      <c r="BI187" s="65"/>
      <c r="BJ187" s="65"/>
      <c r="BK187" s="65"/>
      <c r="BL187" s="65"/>
      <c r="BM187" s="65"/>
      <c r="BN187" s="65"/>
      <c r="BO187" s="65"/>
      <c r="BP187" s="65"/>
      <c r="BQ187" s="65"/>
      <c r="BR187" s="65"/>
      <c r="BS187" s="65"/>
      <c r="BT187" s="65"/>
      <c r="BU187" s="65"/>
      <c r="BV187" s="65"/>
      <c r="BW187" s="65"/>
      <c r="BX187" s="65"/>
      <c r="BY187" s="65"/>
      <c r="BZ187" s="65"/>
      <c r="CA187" s="65"/>
      <c r="CB187" s="65"/>
      <c r="CC187" s="65"/>
      <c r="CD187" s="65"/>
      <c r="CE187" s="65"/>
      <c r="CF187" s="65"/>
      <c r="CG187" s="65"/>
      <c r="CH187" s="65"/>
      <c r="CI187" s="65"/>
      <c r="CJ187" s="65"/>
      <c r="CK187" s="65"/>
      <c r="CL187" s="65"/>
      <c r="CM187" s="65"/>
      <c r="CN187" s="65"/>
      <c r="CO187" s="65"/>
      <c r="CP187" s="65"/>
      <c r="CQ187" s="65"/>
      <c r="CR187" s="65"/>
      <c r="CS187" s="65"/>
      <c r="CT187" s="65"/>
      <c r="CU187" s="65"/>
      <c r="CV187" s="65"/>
      <c r="CW187" s="65"/>
      <c r="CX187" s="65"/>
    </row>
    <row r="188" spans="1:102" s="6" customForma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  <c r="BE188" s="65"/>
      <c r="BF188" s="65"/>
      <c r="BG188" s="65"/>
      <c r="BH188" s="65"/>
      <c r="BI188" s="65"/>
      <c r="BJ188" s="65"/>
      <c r="BK188" s="65"/>
      <c r="BL188" s="65"/>
      <c r="BM188" s="65"/>
      <c r="BN188" s="65"/>
      <c r="BO188" s="65"/>
      <c r="BP188" s="65"/>
      <c r="BQ188" s="65"/>
      <c r="BR188" s="65"/>
      <c r="BS188" s="65"/>
      <c r="BT188" s="65"/>
      <c r="BU188" s="65"/>
      <c r="BV188" s="65"/>
      <c r="BW188" s="65"/>
      <c r="BX188" s="65"/>
      <c r="BY188" s="65"/>
      <c r="BZ188" s="65"/>
      <c r="CA188" s="65"/>
      <c r="CB188" s="65"/>
      <c r="CC188" s="65"/>
      <c r="CD188" s="65"/>
      <c r="CE188" s="65"/>
      <c r="CF188" s="65"/>
      <c r="CG188" s="65"/>
      <c r="CH188" s="65"/>
      <c r="CI188" s="65"/>
      <c r="CJ188" s="65"/>
      <c r="CK188" s="65"/>
      <c r="CL188" s="65"/>
      <c r="CM188" s="65"/>
      <c r="CN188" s="65"/>
      <c r="CO188" s="65"/>
      <c r="CP188" s="65"/>
      <c r="CQ188" s="65"/>
      <c r="CR188" s="65"/>
      <c r="CS188" s="65"/>
      <c r="CT188" s="65"/>
      <c r="CU188" s="65"/>
      <c r="CV188" s="65"/>
      <c r="CW188" s="65"/>
      <c r="CX188" s="65"/>
    </row>
    <row r="189" spans="1:102" s="6" customForma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  <c r="BE189" s="65"/>
      <c r="BF189" s="65"/>
      <c r="BG189" s="65"/>
      <c r="BH189" s="65"/>
      <c r="BI189" s="65"/>
      <c r="BJ189" s="65"/>
      <c r="BK189" s="65"/>
      <c r="BL189" s="65"/>
      <c r="BM189" s="65"/>
      <c r="BN189" s="65"/>
      <c r="BO189" s="65"/>
      <c r="BP189" s="65"/>
      <c r="BQ189" s="65"/>
      <c r="BR189" s="65"/>
      <c r="BS189" s="65"/>
      <c r="BT189" s="65"/>
      <c r="BU189" s="65"/>
      <c r="BV189" s="65"/>
      <c r="BW189" s="65"/>
      <c r="BX189" s="65"/>
      <c r="BY189" s="65"/>
      <c r="BZ189" s="65"/>
      <c r="CA189" s="65"/>
      <c r="CB189" s="65"/>
      <c r="CC189" s="65"/>
      <c r="CD189" s="65"/>
      <c r="CE189" s="65"/>
      <c r="CF189" s="65"/>
      <c r="CG189" s="65"/>
      <c r="CH189" s="65"/>
      <c r="CI189" s="65"/>
      <c r="CJ189" s="65"/>
      <c r="CK189" s="65"/>
      <c r="CL189" s="65"/>
      <c r="CM189" s="65"/>
      <c r="CN189" s="65"/>
      <c r="CO189" s="65"/>
      <c r="CP189" s="65"/>
      <c r="CQ189" s="65"/>
      <c r="CR189" s="65"/>
      <c r="CS189" s="65"/>
      <c r="CT189" s="65"/>
      <c r="CU189" s="65"/>
      <c r="CV189" s="65"/>
      <c r="CW189" s="65"/>
      <c r="CX189" s="65"/>
    </row>
    <row r="190" spans="1:102" s="6" customForma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  <c r="BE190" s="65"/>
      <c r="BF190" s="65"/>
      <c r="BG190" s="65"/>
      <c r="BH190" s="65"/>
      <c r="BI190" s="65"/>
      <c r="BJ190" s="65"/>
      <c r="BK190" s="65"/>
      <c r="BL190" s="65"/>
      <c r="BM190" s="65"/>
      <c r="BN190" s="65"/>
      <c r="BO190" s="65"/>
      <c r="BP190" s="65"/>
      <c r="BQ190" s="65"/>
      <c r="BR190" s="65"/>
      <c r="BS190" s="65"/>
      <c r="BT190" s="65"/>
      <c r="BU190" s="65"/>
      <c r="BV190" s="65"/>
      <c r="BW190" s="65"/>
      <c r="BX190" s="65"/>
      <c r="BY190" s="65"/>
      <c r="BZ190" s="65"/>
      <c r="CA190" s="65"/>
      <c r="CB190" s="65"/>
      <c r="CC190" s="65"/>
      <c r="CD190" s="65"/>
      <c r="CE190" s="65"/>
      <c r="CF190" s="65"/>
      <c r="CG190" s="65"/>
      <c r="CH190" s="65"/>
      <c r="CI190" s="65"/>
      <c r="CJ190" s="65"/>
      <c r="CK190" s="65"/>
      <c r="CL190" s="65"/>
      <c r="CM190" s="65"/>
      <c r="CN190" s="65"/>
      <c r="CO190" s="65"/>
      <c r="CP190" s="65"/>
      <c r="CQ190" s="65"/>
      <c r="CR190" s="65"/>
      <c r="CS190" s="65"/>
      <c r="CT190" s="65"/>
      <c r="CU190" s="65"/>
      <c r="CV190" s="65"/>
      <c r="CW190" s="65"/>
      <c r="CX190" s="65"/>
    </row>
    <row r="191" spans="1:102" s="6" customForma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5"/>
      <c r="BK191" s="65"/>
      <c r="BL191" s="65"/>
      <c r="BM191" s="65"/>
      <c r="BN191" s="65"/>
      <c r="BO191" s="65"/>
      <c r="BP191" s="65"/>
      <c r="BQ191" s="65"/>
      <c r="BR191" s="65"/>
      <c r="BS191" s="65"/>
      <c r="BT191" s="65"/>
      <c r="BU191" s="65"/>
      <c r="BV191" s="65"/>
      <c r="BW191" s="65"/>
      <c r="BX191" s="65"/>
      <c r="BY191" s="65"/>
      <c r="BZ191" s="65"/>
      <c r="CA191" s="65"/>
      <c r="CB191" s="65"/>
      <c r="CC191" s="65"/>
      <c r="CD191" s="65"/>
      <c r="CE191" s="65"/>
      <c r="CF191" s="65"/>
      <c r="CG191" s="65"/>
      <c r="CH191" s="65"/>
      <c r="CI191" s="65"/>
      <c r="CJ191" s="65"/>
      <c r="CK191" s="65"/>
      <c r="CL191" s="65"/>
      <c r="CM191" s="65"/>
      <c r="CN191" s="65"/>
      <c r="CO191" s="65"/>
      <c r="CP191" s="65"/>
      <c r="CQ191" s="65"/>
      <c r="CR191" s="65"/>
      <c r="CS191" s="65"/>
      <c r="CT191" s="65"/>
      <c r="CU191" s="65"/>
      <c r="CV191" s="65"/>
      <c r="CW191" s="65"/>
      <c r="CX191" s="65"/>
    </row>
    <row r="192" spans="1:102" s="6" customForma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  <c r="BD192" s="65"/>
      <c r="BE192" s="65"/>
      <c r="BF192" s="65"/>
      <c r="BG192" s="65"/>
      <c r="BH192" s="65"/>
      <c r="BI192" s="65"/>
      <c r="BJ192" s="65"/>
      <c r="BK192" s="65"/>
      <c r="BL192" s="65"/>
      <c r="BM192" s="65"/>
      <c r="BN192" s="65"/>
      <c r="BO192" s="65"/>
      <c r="BP192" s="65"/>
      <c r="BQ192" s="65"/>
      <c r="BR192" s="65"/>
      <c r="BS192" s="65"/>
      <c r="BT192" s="65"/>
      <c r="BU192" s="65"/>
      <c r="BV192" s="65"/>
      <c r="BW192" s="65"/>
      <c r="BX192" s="65"/>
      <c r="BY192" s="65"/>
      <c r="BZ192" s="65"/>
      <c r="CA192" s="65"/>
      <c r="CB192" s="65"/>
      <c r="CC192" s="65"/>
      <c r="CD192" s="65"/>
      <c r="CE192" s="65"/>
      <c r="CF192" s="65"/>
      <c r="CG192" s="65"/>
      <c r="CH192" s="65"/>
      <c r="CI192" s="65"/>
      <c r="CJ192" s="65"/>
      <c r="CK192" s="65"/>
      <c r="CL192" s="65"/>
      <c r="CM192" s="65"/>
      <c r="CN192" s="65"/>
      <c r="CO192" s="65"/>
      <c r="CP192" s="65"/>
      <c r="CQ192" s="65"/>
      <c r="CR192" s="65"/>
      <c r="CS192" s="65"/>
      <c r="CT192" s="65"/>
      <c r="CU192" s="65"/>
      <c r="CV192" s="65"/>
      <c r="CW192" s="65"/>
      <c r="CX192" s="65"/>
    </row>
    <row r="193" spans="1:102" s="6" customForma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/>
      <c r="BJ193" s="65"/>
      <c r="BK193" s="65"/>
      <c r="BL193" s="65"/>
      <c r="BM193" s="65"/>
      <c r="BN193" s="65"/>
      <c r="BO193" s="65"/>
      <c r="BP193" s="65"/>
      <c r="BQ193" s="65"/>
      <c r="BR193" s="65"/>
      <c r="BS193" s="65"/>
      <c r="BT193" s="65"/>
      <c r="BU193" s="65"/>
      <c r="BV193" s="65"/>
      <c r="BW193" s="65"/>
      <c r="BX193" s="65"/>
      <c r="BY193" s="65"/>
      <c r="BZ193" s="65"/>
      <c r="CA193" s="65"/>
      <c r="CB193" s="65"/>
      <c r="CC193" s="65"/>
      <c r="CD193" s="65"/>
      <c r="CE193" s="65"/>
      <c r="CF193" s="65"/>
      <c r="CG193" s="65"/>
      <c r="CH193" s="65"/>
      <c r="CI193" s="65"/>
      <c r="CJ193" s="65"/>
      <c r="CK193" s="65"/>
      <c r="CL193" s="65"/>
      <c r="CM193" s="65"/>
      <c r="CN193" s="65"/>
      <c r="CO193" s="65"/>
      <c r="CP193" s="65"/>
      <c r="CQ193" s="65"/>
      <c r="CR193" s="65"/>
      <c r="CS193" s="65"/>
      <c r="CT193" s="65"/>
      <c r="CU193" s="65"/>
      <c r="CV193" s="65"/>
      <c r="CW193" s="65"/>
      <c r="CX193" s="65"/>
    </row>
    <row r="194" spans="1:102" s="6" customForma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/>
      <c r="BF194" s="65"/>
      <c r="BG194" s="65"/>
      <c r="BH194" s="65"/>
      <c r="BI194" s="65"/>
      <c r="BJ194" s="65"/>
      <c r="BK194" s="65"/>
      <c r="BL194" s="65"/>
      <c r="BM194" s="65"/>
      <c r="BN194" s="65"/>
      <c r="BO194" s="65"/>
      <c r="BP194" s="65"/>
      <c r="BQ194" s="65"/>
      <c r="BR194" s="65"/>
      <c r="BS194" s="65"/>
      <c r="BT194" s="65"/>
      <c r="BU194" s="65"/>
      <c r="BV194" s="65"/>
      <c r="BW194" s="65"/>
      <c r="BX194" s="65"/>
      <c r="BY194" s="65"/>
      <c r="BZ194" s="65"/>
      <c r="CA194" s="65"/>
      <c r="CB194" s="65"/>
      <c r="CC194" s="65"/>
      <c r="CD194" s="65"/>
      <c r="CE194" s="65"/>
      <c r="CF194" s="65"/>
      <c r="CG194" s="65"/>
      <c r="CH194" s="65"/>
      <c r="CI194" s="65"/>
      <c r="CJ194" s="65"/>
      <c r="CK194" s="65"/>
      <c r="CL194" s="65"/>
      <c r="CM194" s="65"/>
      <c r="CN194" s="65"/>
      <c r="CO194" s="65"/>
      <c r="CP194" s="65"/>
      <c r="CQ194" s="65"/>
      <c r="CR194" s="65"/>
      <c r="CS194" s="65"/>
      <c r="CT194" s="65"/>
      <c r="CU194" s="65"/>
      <c r="CV194" s="65"/>
      <c r="CW194" s="65"/>
      <c r="CX194" s="65"/>
    </row>
    <row r="195" spans="1:102" s="6" customForma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/>
      <c r="BF195" s="65"/>
      <c r="BG195" s="65"/>
      <c r="BH195" s="65"/>
      <c r="BI195" s="65"/>
      <c r="BJ195" s="65"/>
      <c r="BK195" s="65"/>
      <c r="BL195" s="65"/>
      <c r="BM195" s="65"/>
      <c r="BN195" s="65"/>
      <c r="BO195" s="65"/>
      <c r="BP195" s="65"/>
      <c r="BQ195" s="65"/>
      <c r="BR195" s="65"/>
      <c r="BS195" s="65"/>
      <c r="BT195" s="65"/>
      <c r="BU195" s="65"/>
      <c r="BV195" s="65"/>
      <c r="BW195" s="65"/>
      <c r="BX195" s="65"/>
      <c r="BY195" s="65"/>
      <c r="BZ195" s="65"/>
      <c r="CA195" s="65"/>
      <c r="CB195" s="65"/>
      <c r="CC195" s="65"/>
      <c r="CD195" s="65"/>
      <c r="CE195" s="65"/>
      <c r="CF195" s="65"/>
      <c r="CG195" s="65"/>
      <c r="CH195" s="65"/>
      <c r="CI195" s="65"/>
      <c r="CJ195" s="65"/>
      <c r="CK195" s="65"/>
      <c r="CL195" s="65"/>
      <c r="CM195" s="65"/>
      <c r="CN195" s="65"/>
      <c r="CO195" s="65"/>
      <c r="CP195" s="65"/>
      <c r="CQ195" s="65"/>
      <c r="CR195" s="65"/>
      <c r="CS195" s="65"/>
      <c r="CT195" s="65"/>
      <c r="CU195" s="65"/>
      <c r="CV195" s="65"/>
      <c r="CW195" s="65"/>
      <c r="CX195" s="65"/>
    </row>
    <row r="196" spans="1:102" s="6" customForma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  <c r="BE196" s="65"/>
      <c r="BF196" s="65"/>
      <c r="BG196" s="65"/>
      <c r="BH196" s="65"/>
      <c r="BI196" s="65"/>
      <c r="BJ196" s="65"/>
      <c r="BK196" s="65"/>
      <c r="BL196" s="65"/>
      <c r="BM196" s="65"/>
      <c r="BN196" s="65"/>
      <c r="BO196" s="65"/>
      <c r="BP196" s="65"/>
      <c r="BQ196" s="65"/>
      <c r="BR196" s="65"/>
      <c r="BS196" s="65"/>
      <c r="BT196" s="65"/>
      <c r="BU196" s="65"/>
      <c r="BV196" s="65"/>
      <c r="BW196" s="65"/>
      <c r="BX196" s="65"/>
      <c r="BY196" s="65"/>
      <c r="BZ196" s="65"/>
      <c r="CA196" s="65"/>
      <c r="CB196" s="65"/>
      <c r="CC196" s="65"/>
      <c r="CD196" s="65"/>
      <c r="CE196" s="65"/>
      <c r="CF196" s="65"/>
      <c r="CG196" s="65"/>
      <c r="CH196" s="65"/>
      <c r="CI196" s="65"/>
      <c r="CJ196" s="65"/>
      <c r="CK196" s="65"/>
      <c r="CL196" s="65"/>
      <c r="CM196" s="65"/>
      <c r="CN196" s="65"/>
      <c r="CO196" s="65"/>
      <c r="CP196" s="65"/>
      <c r="CQ196" s="65"/>
      <c r="CR196" s="65"/>
      <c r="CS196" s="65"/>
      <c r="CT196" s="65"/>
      <c r="CU196" s="65"/>
      <c r="CV196" s="65"/>
      <c r="CW196" s="65"/>
      <c r="CX196" s="65"/>
    </row>
    <row r="197" spans="1:102" s="6" customForma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  <c r="BD197" s="65"/>
      <c r="BE197" s="65"/>
      <c r="BF197" s="65"/>
      <c r="BG197" s="65"/>
      <c r="BH197" s="65"/>
      <c r="BI197" s="65"/>
      <c r="BJ197" s="65"/>
      <c r="BK197" s="65"/>
      <c r="BL197" s="65"/>
      <c r="BM197" s="65"/>
      <c r="BN197" s="65"/>
      <c r="BO197" s="65"/>
      <c r="BP197" s="65"/>
      <c r="BQ197" s="65"/>
      <c r="BR197" s="65"/>
      <c r="BS197" s="65"/>
      <c r="BT197" s="65"/>
      <c r="BU197" s="65"/>
      <c r="BV197" s="65"/>
      <c r="BW197" s="65"/>
      <c r="BX197" s="65"/>
      <c r="BY197" s="65"/>
      <c r="BZ197" s="65"/>
      <c r="CA197" s="65"/>
      <c r="CB197" s="65"/>
      <c r="CC197" s="65"/>
      <c r="CD197" s="65"/>
      <c r="CE197" s="65"/>
      <c r="CF197" s="65"/>
      <c r="CG197" s="65"/>
      <c r="CH197" s="65"/>
      <c r="CI197" s="65"/>
      <c r="CJ197" s="65"/>
      <c r="CK197" s="65"/>
      <c r="CL197" s="65"/>
      <c r="CM197" s="65"/>
      <c r="CN197" s="65"/>
      <c r="CO197" s="65"/>
      <c r="CP197" s="65"/>
      <c r="CQ197" s="65"/>
      <c r="CR197" s="65"/>
      <c r="CS197" s="65"/>
      <c r="CT197" s="65"/>
      <c r="CU197" s="65"/>
      <c r="CV197" s="65"/>
      <c r="CW197" s="65"/>
      <c r="CX197" s="65"/>
    </row>
    <row r="198" spans="1:102" s="6" customForma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  <c r="BD198" s="65"/>
      <c r="BE198" s="65"/>
      <c r="BF198" s="65"/>
      <c r="BG198" s="65"/>
      <c r="BH198" s="65"/>
      <c r="BI198" s="65"/>
      <c r="BJ198" s="65"/>
      <c r="BK198" s="65"/>
      <c r="BL198" s="65"/>
      <c r="BM198" s="65"/>
      <c r="BN198" s="65"/>
      <c r="BO198" s="65"/>
      <c r="BP198" s="65"/>
      <c r="BQ198" s="65"/>
      <c r="BR198" s="65"/>
      <c r="BS198" s="65"/>
      <c r="BT198" s="65"/>
      <c r="BU198" s="65"/>
      <c r="BV198" s="65"/>
      <c r="BW198" s="65"/>
      <c r="BX198" s="65"/>
      <c r="BY198" s="65"/>
      <c r="BZ198" s="65"/>
      <c r="CA198" s="65"/>
      <c r="CB198" s="65"/>
      <c r="CC198" s="65"/>
      <c r="CD198" s="65"/>
      <c r="CE198" s="65"/>
      <c r="CF198" s="65"/>
      <c r="CG198" s="65"/>
      <c r="CH198" s="65"/>
      <c r="CI198" s="65"/>
      <c r="CJ198" s="65"/>
      <c r="CK198" s="65"/>
      <c r="CL198" s="65"/>
      <c r="CM198" s="65"/>
      <c r="CN198" s="65"/>
      <c r="CO198" s="65"/>
      <c r="CP198" s="65"/>
      <c r="CQ198" s="65"/>
      <c r="CR198" s="65"/>
      <c r="CS198" s="65"/>
      <c r="CT198" s="65"/>
      <c r="CU198" s="65"/>
      <c r="CV198" s="65"/>
      <c r="CW198" s="65"/>
      <c r="CX198" s="65"/>
    </row>
    <row r="199" spans="1:102" s="6" customForma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  <c r="BD199" s="65"/>
      <c r="BE199" s="65"/>
      <c r="BF199" s="65"/>
      <c r="BG199" s="65"/>
      <c r="BH199" s="65"/>
      <c r="BI199" s="65"/>
      <c r="BJ199" s="65"/>
      <c r="BK199" s="65"/>
      <c r="BL199" s="65"/>
      <c r="BM199" s="65"/>
      <c r="BN199" s="65"/>
      <c r="BO199" s="65"/>
      <c r="BP199" s="65"/>
      <c r="BQ199" s="65"/>
      <c r="BR199" s="65"/>
      <c r="BS199" s="65"/>
      <c r="BT199" s="65"/>
      <c r="BU199" s="65"/>
      <c r="BV199" s="65"/>
      <c r="BW199" s="65"/>
      <c r="BX199" s="65"/>
      <c r="BY199" s="65"/>
      <c r="BZ199" s="65"/>
      <c r="CA199" s="65"/>
      <c r="CB199" s="65"/>
      <c r="CC199" s="65"/>
      <c r="CD199" s="65"/>
      <c r="CE199" s="65"/>
      <c r="CF199" s="65"/>
      <c r="CG199" s="65"/>
      <c r="CH199" s="65"/>
      <c r="CI199" s="65"/>
      <c r="CJ199" s="65"/>
      <c r="CK199" s="65"/>
      <c r="CL199" s="65"/>
      <c r="CM199" s="65"/>
      <c r="CN199" s="65"/>
      <c r="CO199" s="65"/>
      <c r="CP199" s="65"/>
      <c r="CQ199" s="65"/>
      <c r="CR199" s="65"/>
      <c r="CS199" s="65"/>
      <c r="CT199" s="65"/>
      <c r="CU199" s="65"/>
      <c r="CV199" s="65"/>
      <c r="CW199" s="65"/>
      <c r="CX199" s="65"/>
    </row>
    <row r="200" spans="1:102" s="6" customForma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  <c r="BE200" s="65"/>
      <c r="BF200" s="65"/>
      <c r="BG200" s="65"/>
      <c r="BH200" s="65"/>
      <c r="BI200" s="65"/>
      <c r="BJ200" s="65"/>
      <c r="BK200" s="65"/>
      <c r="BL200" s="65"/>
      <c r="BM200" s="65"/>
      <c r="BN200" s="65"/>
      <c r="BO200" s="65"/>
      <c r="BP200" s="65"/>
      <c r="BQ200" s="65"/>
      <c r="BR200" s="65"/>
      <c r="BS200" s="65"/>
      <c r="BT200" s="65"/>
      <c r="BU200" s="65"/>
      <c r="BV200" s="65"/>
      <c r="BW200" s="65"/>
      <c r="BX200" s="65"/>
      <c r="BY200" s="65"/>
      <c r="BZ200" s="65"/>
      <c r="CA200" s="65"/>
      <c r="CB200" s="65"/>
      <c r="CC200" s="65"/>
      <c r="CD200" s="65"/>
      <c r="CE200" s="65"/>
      <c r="CF200" s="65"/>
      <c r="CG200" s="65"/>
      <c r="CH200" s="65"/>
      <c r="CI200" s="65"/>
      <c r="CJ200" s="65"/>
      <c r="CK200" s="65"/>
      <c r="CL200" s="65"/>
      <c r="CM200" s="65"/>
      <c r="CN200" s="65"/>
      <c r="CO200" s="65"/>
      <c r="CP200" s="65"/>
      <c r="CQ200" s="65"/>
      <c r="CR200" s="65"/>
      <c r="CS200" s="65"/>
      <c r="CT200" s="65"/>
      <c r="CU200" s="65"/>
      <c r="CV200" s="65"/>
      <c r="CW200" s="65"/>
      <c r="CX200" s="65"/>
    </row>
    <row r="201" spans="1:102" s="6" customForma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  <c r="BD201" s="65"/>
      <c r="BE201" s="65"/>
      <c r="BF201" s="65"/>
      <c r="BG201" s="65"/>
      <c r="BH201" s="65"/>
      <c r="BI201" s="65"/>
      <c r="BJ201" s="65"/>
      <c r="BK201" s="65"/>
      <c r="BL201" s="65"/>
      <c r="BM201" s="65"/>
      <c r="BN201" s="65"/>
      <c r="BO201" s="65"/>
      <c r="BP201" s="65"/>
      <c r="BQ201" s="65"/>
      <c r="BR201" s="65"/>
      <c r="BS201" s="65"/>
      <c r="BT201" s="65"/>
      <c r="BU201" s="65"/>
      <c r="BV201" s="65"/>
      <c r="BW201" s="65"/>
      <c r="BX201" s="65"/>
      <c r="BY201" s="65"/>
      <c r="BZ201" s="65"/>
      <c r="CA201" s="65"/>
      <c r="CB201" s="65"/>
      <c r="CC201" s="65"/>
      <c r="CD201" s="65"/>
      <c r="CE201" s="65"/>
      <c r="CF201" s="65"/>
      <c r="CG201" s="65"/>
      <c r="CH201" s="65"/>
      <c r="CI201" s="65"/>
      <c r="CJ201" s="65"/>
      <c r="CK201" s="65"/>
      <c r="CL201" s="65"/>
      <c r="CM201" s="65"/>
      <c r="CN201" s="65"/>
      <c r="CO201" s="65"/>
      <c r="CP201" s="65"/>
      <c r="CQ201" s="65"/>
      <c r="CR201" s="65"/>
      <c r="CS201" s="65"/>
      <c r="CT201" s="65"/>
      <c r="CU201" s="65"/>
      <c r="CV201" s="65"/>
      <c r="CW201" s="65"/>
      <c r="CX201" s="65"/>
    </row>
    <row r="202" spans="1:102" s="6" customForma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65"/>
      <c r="BA202" s="65"/>
      <c r="BB202" s="65"/>
      <c r="BC202" s="65"/>
      <c r="BD202" s="65"/>
      <c r="BE202" s="65"/>
      <c r="BF202" s="65"/>
      <c r="BG202" s="65"/>
      <c r="BH202" s="65"/>
      <c r="BI202" s="65"/>
      <c r="BJ202" s="65"/>
      <c r="BK202" s="65"/>
      <c r="BL202" s="65"/>
      <c r="BM202" s="65"/>
      <c r="BN202" s="65"/>
      <c r="BO202" s="65"/>
      <c r="BP202" s="65"/>
      <c r="BQ202" s="65"/>
      <c r="BR202" s="65"/>
      <c r="BS202" s="65"/>
      <c r="BT202" s="65"/>
      <c r="BU202" s="65"/>
      <c r="BV202" s="65"/>
      <c r="BW202" s="65"/>
      <c r="BX202" s="65"/>
      <c r="BY202" s="65"/>
      <c r="BZ202" s="65"/>
      <c r="CA202" s="65"/>
      <c r="CB202" s="65"/>
      <c r="CC202" s="65"/>
      <c r="CD202" s="65"/>
      <c r="CE202" s="65"/>
      <c r="CF202" s="65"/>
      <c r="CG202" s="65"/>
      <c r="CH202" s="65"/>
      <c r="CI202" s="65"/>
      <c r="CJ202" s="65"/>
      <c r="CK202" s="65"/>
      <c r="CL202" s="65"/>
      <c r="CM202" s="65"/>
      <c r="CN202" s="65"/>
      <c r="CO202" s="65"/>
      <c r="CP202" s="65"/>
      <c r="CQ202" s="65"/>
      <c r="CR202" s="65"/>
      <c r="CS202" s="65"/>
      <c r="CT202" s="65"/>
      <c r="CU202" s="65"/>
      <c r="CV202" s="65"/>
      <c r="CW202" s="65"/>
      <c r="CX202" s="65"/>
    </row>
    <row r="203" spans="1:102" s="6" customForma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/>
      <c r="AX203" s="65"/>
      <c r="AY203" s="65"/>
      <c r="AZ203" s="65"/>
      <c r="BA203" s="65"/>
      <c r="BB203" s="65"/>
      <c r="BC203" s="65"/>
      <c r="BD203" s="65"/>
      <c r="BE203" s="65"/>
      <c r="BF203" s="65"/>
      <c r="BG203" s="65"/>
      <c r="BH203" s="65"/>
      <c r="BI203" s="65"/>
      <c r="BJ203" s="65"/>
      <c r="BK203" s="65"/>
      <c r="BL203" s="65"/>
      <c r="BM203" s="65"/>
      <c r="BN203" s="65"/>
      <c r="BO203" s="65"/>
      <c r="BP203" s="65"/>
      <c r="BQ203" s="65"/>
      <c r="BR203" s="65"/>
      <c r="BS203" s="65"/>
      <c r="BT203" s="65"/>
      <c r="BU203" s="65"/>
      <c r="BV203" s="65"/>
      <c r="BW203" s="65"/>
      <c r="BX203" s="65"/>
      <c r="BY203" s="65"/>
      <c r="BZ203" s="65"/>
      <c r="CA203" s="65"/>
      <c r="CB203" s="65"/>
      <c r="CC203" s="65"/>
      <c r="CD203" s="65"/>
      <c r="CE203" s="65"/>
      <c r="CF203" s="65"/>
      <c r="CG203" s="65"/>
      <c r="CH203" s="65"/>
      <c r="CI203" s="65"/>
      <c r="CJ203" s="65"/>
      <c r="CK203" s="65"/>
      <c r="CL203" s="65"/>
      <c r="CM203" s="65"/>
      <c r="CN203" s="65"/>
      <c r="CO203" s="65"/>
      <c r="CP203" s="65"/>
      <c r="CQ203" s="65"/>
      <c r="CR203" s="65"/>
      <c r="CS203" s="65"/>
      <c r="CT203" s="65"/>
      <c r="CU203" s="65"/>
      <c r="CV203" s="65"/>
      <c r="CW203" s="65"/>
      <c r="CX203" s="65"/>
    </row>
    <row r="204" spans="1:102" s="6" customForma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  <c r="BE204" s="65"/>
      <c r="BF204" s="65"/>
      <c r="BG204" s="65"/>
      <c r="BH204" s="65"/>
      <c r="BI204" s="65"/>
      <c r="BJ204" s="65"/>
      <c r="BK204" s="65"/>
      <c r="BL204" s="65"/>
      <c r="BM204" s="65"/>
      <c r="BN204" s="65"/>
      <c r="BO204" s="65"/>
      <c r="BP204" s="65"/>
      <c r="BQ204" s="65"/>
      <c r="BR204" s="65"/>
      <c r="BS204" s="65"/>
      <c r="BT204" s="65"/>
      <c r="BU204" s="65"/>
      <c r="BV204" s="65"/>
      <c r="BW204" s="65"/>
      <c r="BX204" s="65"/>
      <c r="BY204" s="65"/>
      <c r="BZ204" s="65"/>
      <c r="CA204" s="65"/>
      <c r="CB204" s="65"/>
      <c r="CC204" s="65"/>
      <c r="CD204" s="65"/>
      <c r="CE204" s="65"/>
      <c r="CF204" s="65"/>
      <c r="CG204" s="65"/>
      <c r="CH204" s="65"/>
      <c r="CI204" s="65"/>
      <c r="CJ204" s="65"/>
      <c r="CK204" s="65"/>
      <c r="CL204" s="65"/>
      <c r="CM204" s="65"/>
      <c r="CN204" s="65"/>
      <c r="CO204" s="65"/>
      <c r="CP204" s="65"/>
      <c r="CQ204" s="65"/>
      <c r="CR204" s="65"/>
      <c r="CS204" s="65"/>
      <c r="CT204" s="65"/>
      <c r="CU204" s="65"/>
      <c r="CV204" s="65"/>
      <c r="CW204" s="65"/>
      <c r="CX204" s="65"/>
    </row>
    <row r="205" spans="1:102" s="6" customForma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  <c r="BD205" s="65"/>
      <c r="BE205" s="65"/>
      <c r="BF205" s="65"/>
      <c r="BG205" s="65"/>
      <c r="BH205" s="65"/>
      <c r="BI205" s="65"/>
      <c r="BJ205" s="65"/>
      <c r="BK205" s="65"/>
      <c r="BL205" s="65"/>
      <c r="BM205" s="65"/>
      <c r="BN205" s="65"/>
      <c r="BO205" s="65"/>
      <c r="BP205" s="65"/>
      <c r="BQ205" s="65"/>
      <c r="BR205" s="65"/>
      <c r="BS205" s="65"/>
      <c r="BT205" s="65"/>
      <c r="BU205" s="65"/>
      <c r="BV205" s="65"/>
      <c r="BW205" s="65"/>
      <c r="BX205" s="65"/>
      <c r="BY205" s="65"/>
      <c r="BZ205" s="65"/>
      <c r="CA205" s="65"/>
      <c r="CB205" s="65"/>
      <c r="CC205" s="65"/>
      <c r="CD205" s="65"/>
      <c r="CE205" s="65"/>
      <c r="CF205" s="65"/>
      <c r="CG205" s="65"/>
      <c r="CH205" s="65"/>
      <c r="CI205" s="65"/>
      <c r="CJ205" s="65"/>
      <c r="CK205" s="65"/>
      <c r="CL205" s="65"/>
      <c r="CM205" s="65"/>
      <c r="CN205" s="65"/>
      <c r="CO205" s="65"/>
      <c r="CP205" s="65"/>
      <c r="CQ205" s="65"/>
      <c r="CR205" s="65"/>
      <c r="CS205" s="65"/>
      <c r="CT205" s="65"/>
      <c r="CU205" s="65"/>
      <c r="CV205" s="65"/>
      <c r="CW205" s="65"/>
      <c r="CX205" s="65"/>
    </row>
    <row r="206" spans="1:102" s="6" customForma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/>
      <c r="AX206" s="65"/>
      <c r="AY206" s="65"/>
      <c r="AZ206" s="65"/>
      <c r="BA206" s="65"/>
      <c r="BB206" s="65"/>
      <c r="BC206" s="65"/>
      <c r="BD206" s="65"/>
      <c r="BE206" s="65"/>
      <c r="BF206" s="65"/>
      <c r="BG206" s="65"/>
      <c r="BH206" s="65"/>
      <c r="BI206" s="65"/>
      <c r="BJ206" s="65"/>
      <c r="BK206" s="65"/>
      <c r="BL206" s="65"/>
      <c r="BM206" s="65"/>
      <c r="BN206" s="65"/>
      <c r="BO206" s="65"/>
      <c r="BP206" s="65"/>
      <c r="BQ206" s="65"/>
      <c r="BR206" s="65"/>
      <c r="BS206" s="65"/>
      <c r="BT206" s="65"/>
      <c r="BU206" s="65"/>
      <c r="BV206" s="65"/>
      <c r="BW206" s="65"/>
      <c r="BX206" s="65"/>
      <c r="BY206" s="65"/>
      <c r="BZ206" s="65"/>
      <c r="CA206" s="65"/>
      <c r="CB206" s="65"/>
      <c r="CC206" s="65"/>
      <c r="CD206" s="65"/>
      <c r="CE206" s="65"/>
      <c r="CF206" s="65"/>
      <c r="CG206" s="65"/>
      <c r="CH206" s="65"/>
      <c r="CI206" s="65"/>
      <c r="CJ206" s="65"/>
      <c r="CK206" s="65"/>
      <c r="CL206" s="65"/>
      <c r="CM206" s="65"/>
      <c r="CN206" s="65"/>
      <c r="CO206" s="65"/>
      <c r="CP206" s="65"/>
      <c r="CQ206" s="65"/>
      <c r="CR206" s="65"/>
      <c r="CS206" s="65"/>
      <c r="CT206" s="65"/>
      <c r="CU206" s="65"/>
      <c r="CV206" s="65"/>
      <c r="CW206" s="65"/>
      <c r="CX206" s="65"/>
    </row>
    <row r="207" spans="1:102" s="6" customForma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  <c r="BE207" s="65"/>
      <c r="BF207" s="65"/>
      <c r="BG207" s="65"/>
      <c r="BH207" s="65"/>
      <c r="BI207" s="65"/>
      <c r="BJ207" s="65"/>
      <c r="BK207" s="65"/>
      <c r="BL207" s="65"/>
      <c r="BM207" s="65"/>
      <c r="BN207" s="65"/>
      <c r="BO207" s="65"/>
      <c r="BP207" s="65"/>
      <c r="BQ207" s="65"/>
      <c r="BR207" s="65"/>
      <c r="BS207" s="65"/>
      <c r="BT207" s="65"/>
      <c r="BU207" s="65"/>
      <c r="BV207" s="65"/>
      <c r="BW207" s="65"/>
      <c r="BX207" s="65"/>
      <c r="BY207" s="65"/>
      <c r="BZ207" s="65"/>
      <c r="CA207" s="65"/>
      <c r="CB207" s="65"/>
      <c r="CC207" s="65"/>
      <c r="CD207" s="65"/>
      <c r="CE207" s="65"/>
      <c r="CF207" s="65"/>
      <c r="CG207" s="65"/>
      <c r="CH207" s="65"/>
      <c r="CI207" s="65"/>
      <c r="CJ207" s="65"/>
      <c r="CK207" s="65"/>
      <c r="CL207" s="65"/>
      <c r="CM207" s="65"/>
      <c r="CN207" s="65"/>
      <c r="CO207" s="65"/>
      <c r="CP207" s="65"/>
      <c r="CQ207" s="65"/>
      <c r="CR207" s="65"/>
      <c r="CS207" s="65"/>
      <c r="CT207" s="65"/>
      <c r="CU207" s="65"/>
      <c r="CV207" s="65"/>
      <c r="CW207" s="65"/>
      <c r="CX207" s="65"/>
    </row>
    <row r="208" spans="1:102" s="6" customForma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  <c r="BE208" s="65"/>
      <c r="BF208" s="65"/>
      <c r="BG208" s="65"/>
      <c r="BH208" s="65"/>
      <c r="BI208" s="65"/>
      <c r="BJ208" s="65"/>
      <c r="BK208" s="65"/>
      <c r="BL208" s="65"/>
      <c r="BM208" s="65"/>
      <c r="BN208" s="65"/>
      <c r="BO208" s="65"/>
      <c r="BP208" s="65"/>
      <c r="BQ208" s="65"/>
      <c r="BR208" s="65"/>
      <c r="BS208" s="65"/>
      <c r="BT208" s="65"/>
      <c r="BU208" s="65"/>
      <c r="BV208" s="65"/>
      <c r="BW208" s="65"/>
      <c r="BX208" s="65"/>
      <c r="BY208" s="65"/>
      <c r="BZ208" s="65"/>
      <c r="CA208" s="65"/>
      <c r="CB208" s="65"/>
      <c r="CC208" s="65"/>
      <c r="CD208" s="65"/>
      <c r="CE208" s="65"/>
      <c r="CF208" s="65"/>
      <c r="CG208" s="65"/>
      <c r="CH208" s="65"/>
      <c r="CI208" s="65"/>
      <c r="CJ208" s="65"/>
      <c r="CK208" s="65"/>
      <c r="CL208" s="65"/>
      <c r="CM208" s="65"/>
      <c r="CN208" s="65"/>
      <c r="CO208" s="65"/>
      <c r="CP208" s="65"/>
      <c r="CQ208" s="65"/>
      <c r="CR208" s="65"/>
      <c r="CS208" s="65"/>
      <c r="CT208" s="65"/>
      <c r="CU208" s="65"/>
      <c r="CV208" s="65"/>
      <c r="CW208" s="65"/>
      <c r="CX208" s="65"/>
    </row>
    <row r="209" spans="1:102" s="6" customForma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65"/>
      <c r="BA209" s="65"/>
      <c r="BB209" s="65"/>
      <c r="BC209" s="65"/>
      <c r="BD209" s="65"/>
      <c r="BE209" s="65"/>
      <c r="BF209" s="65"/>
      <c r="BG209" s="65"/>
      <c r="BH209" s="65"/>
      <c r="BI209" s="65"/>
      <c r="BJ209" s="65"/>
      <c r="BK209" s="65"/>
      <c r="BL209" s="65"/>
      <c r="BM209" s="65"/>
      <c r="BN209" s="65"/>
      <c r="BO209" s="65"/>
      <c r="BP209" s="65"/>
      <c r="BQ209" s="65"/>
      <c r="BR209" s="65"/>
      <c r="BS209" s="65"/>
      <c r="BT209" s="65"/>
      <c r="BU209" s="65"/>
      <c r="BV209" s="65"/>
      <c r="BW209" s="65"/>
      <c r="BX209" s="65"/>
      <c r="BY209" s="65"/>
      <c r="BZ209" s="65"/>
      <c r="CA209" s="65"/>
      <c r="CB209" s="65"/>
      <c r="CC209" s="65"/>
      <c r="CD209" s="65"/>
      <c r="CE209" s="65"/>
      <c r="CF209" s="65"/>
      <c r="CG209" s="65"/>
      <c r="CH209" s="65"/>
      <c r="CI209" s="65"/>
      <c r="CJ209" s="65"/>
      <c r="CK209" s="65"/>
      <c r="CL209" s="65"/>
      <c r="CM209" s="65"/>
      <c r="CN209" s="65"/>
      <c r="CO209" s="65"/>
      <c r="CP209" s="65"/>
      <c r="CQ209" s="65"/>
      <c r="CR209" s="65"/>
      <c r="CS209" s="65"/>
      <c r="CT209" s="65"/>
      <c r="CU209" s="65"/>
      <c r="CV209" s="65"/>
      <c r="CW209" s="65"/>
      <c r="CX209" s="65"/>
    </row>
    <row r="210" spans="1:102" s="6" customForma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  <c r="BD210" s="65"/>
      <c r="BE210" s="65"/>
      <c r="BF210" s="65"/>
      <c r="BG210" s="65"/>
      <c r="BH210" s="65"/>
      <c r="BI210" s="65"/>
      <c r="BJ210" s="65"/>
      <c r="BK210" s="65"/>
      <c r="BL210" s="65"/>
      <c r="BM210" s="65"/>
      <c r="BN210" s="65"/>
      <c r="BO210" s="65"/>
      <c r="BP210" s="65"/>
      <c r="BQ210" s="65"/>
      <c r="BR210" s="65"/>
      <c r="BS210" s="65"/>
      <c r="BT210" s="65"/>
      <c r="BU210" s="65"/>
      <c r="BV210" s="65"/>
      <c r="BW210" s="65"/>
      <c r="BX210" s="65"/>
      <c r="BY210" s="65"/>
      <c r="BZ210" s="65"/>
      <c r="CA210" s="65"/>
      <c r="CB210" s="65"/>
      <c r="CC210" s="65"/>
      <c r="CD210" s="65"/>
      <c r="CE210" s="65"/>
      <c r="CF210" s="65"/>
      <c r="CG210" s="65"/>
      <c r="CH210" s="65"/>
      <c r="CI210" s="65"/>
      <c r="CJ210" s="65"/>
      <c r="CK210" s="65"/>
      <c r="CL210" s="65"/>
      <c r="CM210" s="65"/>
      <c r="CN210" s="65"/>
      <c r="CO210" s="65"/>
      <c r="CP210" s="65"/>
      <c r="CQ210" s="65"/>
      <c r="CR210" s="65"/>
      <c r="CS210" s="65"/>
      <c r="CT210" s="65"/>
      <c r="CU210" s="65"/>
      <c r="CV210" s="65"/>
      <c r="CW210" s="65"/>
      <c r="CX210" s="65"/>
    </row>
    <row r="211" spans="1:102" s="6" customForma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  <c r="BD211" s="65"/>
      <c r="BE211" s="65"/>
      <c r="BF211" s="65"/>
      <c r="BG211" s="65"/>
      <c r="BH211" s="65"/>
      <c r="BI211" s="65"/>
      <c r="BJ211" s="65"/>
      <c r="BK211" s="65"/>
      <c r="BL211" s="65"/>
      <c r="BM211" s="65"/>
      <c r="BN211" s="65"/>
      <c r="BO211" s="65"/>
      <c r="BP211" s="65"/>
      <c r="BQ211" s="65"/>
      <c r="BR211" s="65"/>
      <c r="BS211" s="65"/>
      <c r="BT211" s="65"/>
      <c r="BU211" s="65"/>
      <c r="BV211" s="65"/>
      <c r="BW211" s="65"/>
      <c r="BX211" s="65"/>
      <c r="BY211" s="65"/>
      <c r="BZ211" s="65"/>
      <c r="CA211" s="65"/>
      <c r="CB211" s="65"/>
      <c r="CC211" s="65"/>
      <c r="CD211" s="65"/>
      <c r="CE211" s="65"/>
      <c r="CF211" s="65"/>
      <c r="CG211" s="65"/>
      <c r="CH211" s="65"/>
      <c r="CI211" s="65"/>
      <c r="CJ211" s="65"/>
      <c r="CK211" s="65"/>
      <c r="CL211" s="65"/>
      <c r="CM211" s="65"/>
      <c r="CN211" s="65"/>
      <c r="CO211" s="65"/>
      <c r="CP211" s="65"/>
      <c r="CQ211" s="65"/>
      <c r="CR211" s="65"/>
      <c r="CS211" s="65"/>
      <c r="CT211" s="65"/>
      <c r="CU211" s="65"/>
      <c r="CV211" s="65"/>
      <c r="CW211" s="65"/>
      <c r="CX211" s="65"/>
    </row>
    <row r="212" spans="1:102" s="6" customForma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  <c r="BD212" s="65"/>
      <c r="BE212" s="65"/>
      <c r="BF212" s="65"/>
      <c r="BG212" s="65"/>
      <c r="BH212" s="65"/>
      <c r="BI212" s="65"/>
      <c r="BJ212" s="65"/>
      <c r="BK212" s="65"/>
      <c r="BL212" s="65"/>
      <c r="BM212" s="65"/>
      <c r="BN212" s="65"/>
      <c r="BO212" s="65"/>
      <c r="BP212" s="65"/>
      <c r="BQ212" s="65"/>
      <c r="BR212" s="65"/>
      <c r="BS212" s="65"/>
      <c r="BT212" s="65"/>
      <c r="BU212" s="65"/>
      <c r="BV212" s="65"/>
      <c r="BW212" s="65"/>
      <c r="BX212" s="65"/>
      <c r="BY212" s="65"/>
      <c r="BZ212" s="65"/>
      <c r="CA212" s="65"/>
      <c r="CB212" s="65"/>
      <c r="CC212" s="65"/>
      <c r="CD212" s="65"/>
      <c r="CE212" s="65"/>
      <c r="CF212" s="65"/>
      <c r="CG212" s="65"/>
      <c r="CH212" s="65"/>
      <c r="CI212" s="65"/>
      <c r="CJ212" s="65"/>
      <c r="CK212" s="65"/>
      <c r="CL212" s="65"/>
      <c r="CM212" s="65"/>
      <c r="CN212" s="65"/>
      <c r="CO212" s="65"/>
      <c r="CP212" s="65"/>
      <c r="CQ212" s="65"/>
      <c r="CR212" s="65"/>
      <c r="CS212" s="65"/>
      <c r="CT212" s="65"/>
      <c r="CU212" s="65"/>
      <c r="CV212" s="65"/>
      <c r="CW212" s="65"/>
      <c r="CX212" s="65"/>
    </row>
    <row r="213" spans="1:102" s="6" customForma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  <c r="BE213" s="65"/>
      <c r="BF213" s="65"/>
      <c r="BG213" s="65"/>
      <c r="BH213" s="65"/>
      <c r="BI213" s="65"/>
      <c r="BJ213" s="65"/>
      <c r="BK213" s="65"/>
      <c r="BL213" s="65"/>
      <c r="BM213" s="65"/>
      <c r="BN213" s="65"/>
      <c r="BO213" s="65"/>
      <c r="BP213" s="65"/>
      <c r="BQ213" s="65"/>
      <c r="BR213" s="65"/>
      <c r="BS213" s="65"/>
      <c r="BT213" s="65"/>
      <c r="BU213" s="65"/>
      <c r="BV213" s="65"/>
      <c r="BW213" s="65"/>
      <c r="BX213" s="65"/>
      <c r="BY213" s="65"/>
      <c r="BZ213" s="65"/>
      <c r="CA213" s="65"/>
      <c r="CB213" s="65"/>
      <c r="CC213" s="65"/>
      <c r="CD213" s="65"/>
      <c r="CE213" s="65"/>
      <c r="CF213" s="65"/>
      <c r="CG213" s="65"/>
      <c r="CH213" s="65"/>
      <c r="CI213" s="65"/>
      <c r="CJ213" s="65"/>
      <c r="CK213" s="65"/>
      <c r="CL213" s="65"/>
      <c r="CM213" s="65"/>
      <c r="CN213" s="65"/>
      <c r="CO213" s="65"/>
      <c r="CP213" s="65"/>
      <c r="CQ213" s="65"/>
      <c r="CR213" s="65"/>
      <c r="CS213" s="65"/>
      <c r="CT213" s="65"/>
      <c r="CU213" s="65"/>
      <c r="CV213" s="65"/>
      <c r="CW213" s="65"/>
      <c r="CX213" s="65"/>
    </row>
    <row r="214" spans="1:102" s="6" customForma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  <c r="BD214" s="65"/>
      <c r="BE214" s="65"/>
      <c r="BF214" s="65"/>
      <c r="BG214" s="65"/>
      <c r="BH214" s="65"/>
      <c r="BI214" s="65"/>
      <c r="BJ214" s="65"/>
      <c r="BK214" s="65"/>
      <c r="BL214" s="65"/>
      <c r="BM214" s="65"/>
      <c r="BN214" s="65"/>
      <c r="BO214" s="65"/>
      <c r="BP214" s="65"/>
      <c r="BQ214" s="65"/>
      <c r="BR214" s="65"/>
      <c r="BS214" s="65"/>
      <c r="BT214" s="65"/>
      <c r="BU214" s="65"/>
      <c r="BV214" s="65"/>
      <c r="BW214" s="65"/>
      <c r="BX214" s="65"/>
      <c r="BY214" s="65"/>
      <c r="BZ214" s="65"/>
      <c r="CA214" s="65"/>
      <c r="CB214" s="65"/>
      <c r="CC214" s="65"/>
      <c r="CD214" s="65"/>
      <c r="CE214" s="65"/>
      <c r="CF214" s="65"/>
      <c r="CG214" s="65"/>
      <c r="CH214" s="65"/>
      <c r="CI214" s="65"/>
      <c r="CJ214" s="65"/>
      <c r="CK214" s="65"/>
      <c r="CL214" s="65"/>
      <c r="CM214" s="65"/>
      <c r="CN214" s="65"/>
      <c r="CO214" s="65"/>
      <c r="CP214" s="65"/>
      <c r="CQ214" s="65"/>
      <c r="CR214" s="65"/>
      <c r="CS214" s="65"/>
      <c r="CT214" s="65"/>
      <c r="CU214" s="65"/>
      <c r="CV214" s="65"/>
      <c r="CW214" s="65"/>
      <c r="CX214" s="65"/>
    </row>
    <row r="215" spans="1:102" s="6" customForma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  <c r="BE215" s="65"/>
      <c r="BF215" s="65"/>
      <c r="BG215" s="65"/>
      <c r="BH215" s="65"/>
      <c r="BI215" s="65"/>
      <c r="BJ215" s="65"/>
      <c r="BK215" s="65"/>
      <c r="BL215" s="65"/>
      <c r="BM215" s="65"/>
      <c r="BN215" s="65"/>
      <c r="BO215" s="65"/>
      <c r="BP215" s="65"/>
      <c r="BQ215" s="65"/>
      <c r="BR215" s="65"/>
      <c r="BS215" s="65"/>
      <c r="BT215" s="65"/>
      <c r="BU215" s="65"/>
      <c r="BV215" s="65"/>
      <c r="BW215" s="65"/>
      <c r="BX215" s="65"/>
      <c r="BY215" s="65"/>
      <c r="BZ215" s="65"/>
      <c r="CA215" s="65"/>
      <c r="CB215" s="65"/>
      <c r="CC215" s="65"/>
      <c r="CD215" s="65"/>
      <c r="CE215" s="65"/>
      <c r="CF215" s="65"/>
      <c r="CG215" s="65"/>
      <c r="CH215" s="65"/>
      <c r="CI215" s="65"/>
      <c r="CJ215" s="65"/>
      <c r="CK215" s="65"/>
      <c r="CL215" s="65"/>
      <c r="CM215" s="65"/>
      <c r="CN215" s="65"/>
      <c r="CO215" s="65"/>
      <c r="CP215" s="65"/>
      <c r="CQ215" s="65"/>
      <c r="CR215" s="65"/>
      <c r="CS215" s="65"/>
      <c r="CT215" s="65"/>
      <c r="CU215" s="65"/>
      <c r="CV215" s="65"/>
      <c r="CW215" s="65"/>
      <c r="CX215" s="65"/>
    </row>
    <row r="216" spans="1:102" s="6" customForma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  <c r="AW216" s="65"/>
      <c r="AX216" s="65"/>
      <c r="AY216" s="65"/>
      <c r="AZ216" s="65"/>
      <c r="BA216" s="65"/>
      <c r="BB216" s="65"/>
      <c r="BC216" s="65"/>
      <c r="BD216" s="65"/>
      <c r="BE216" s="65"/>
      <c r="BF216" s="65"/>
      <c r="BG216" s="65"/>
      <c r="BH216" s="65"/>
      <c r="BI216" s="65"/>
      <c r="BJ216" s="65"/>
      <c r="BK216" s="65"/>
      <c r="BL216" s="65"/>
      <c r="BM216" s="65"/>
      <c r="BN216" s="65"/>
      <c r="BO216" s="65"/>
      <c r="BP216" s="65"/>
      <c r="BQ216" s="65"/>
      <c r="BR216" s="65"/>
      <c r="BS216" s="65"/>
      <c r="BT216" s="65"/>
      <c r="BU216" s="65"/>
      <c r="BV216" s="65"/>
      <c r="BW216" s="65"/>
      <c r="BX216" s="65"/>
      <c r="BY216" s="65"/>
      <c r="BZ216" s="65"/>
      <c r="CA216" s="65"/>
      <c r="CB216" s="65"/>
      <c r="CC216" s="65"/>
      <c r="CD216" s="65"/>
      <c r="CE216" s="65"/>
      <c r="CF216" s="65"/>
      <c r="CG216" s="65"/>
      <c r="CH216" s="65"/>
      <c r="CI216" s="65"/>
      <c r="CJ216" s="65"/>
      <c r="CK216" s="65"/>
      <c r="CL216" s="65"/>
      <c r="CM216" s="65"/>
      <c r="CN216" s="65"/>
      <c r="CO216" s="65"/>
      <c r="CP216" s="65"/>
      <c r="CQ216" s="65"/>
      <c r="CR216" s="65"/>
      <c r="CS216" s="65"/>
      <c r="CT216" s="65"/>
      <c r="CU216" s="65"/>
      <c r="CV216" s="65"/>
      <c r="CW216" s="65"/>
      <c r="CX216" s="65"/>
    </row>
    <row r="217" spans="1:102" s="6" customForma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  <c r="AW217" s="65"/>
      <c r="AX217" s="65"/>
      <c r="AY217" s="65"/>
      <c r="AZ217" s="65"/>
      <c r="BA217" s="65"/>
      <c r="BB217" s="65"/>
      <c r="BC217" s="65"/>
      <c r="BD217" s="65"/>
      <c r="BE217" s="65"/>
      <c r="BF217" s="65"/>
      <c r="BG217" s="65"/>
      <c r="BH217" s="65"/>
      <c r="BI217" s="65"/>
      <c r="BJ217" s="65"/>
      <c r="BK217" s="65"/>
      <c r="BL217" s="65"/>
      <c r="BM217" s="65"/>
      <c r="BN217" s="65"/>
      <c r="BO217" s="65"/>
      <c r="BP217" s="65"/>
      <c r="BQ217" s="65"/>
      <c r="BR217" s="65"/>
      <c r="BS217" s="65"/>
      <c r="BT217" s="65"/>
      <c r="BU217" s="65"/>
      <c r="BV217" s="65"/>
      <c r="BW217" s="65"/>
      <c r="BX217" s="65"/>
      <c r="BY217" s="65"/>
      <c r="BZ217" s="65"/>
      <c r="CA217" s="65"/>
      <c r="CB217" s="65"/>
      <c r="CC217" s="65"/>
      <c r="CD217" s="65"/>
      <c r="CE217" s="65"/>
      <c r="CF217" s="65"/>
      <c r="CG217" s="65"/>
      <c r="CH217" s="65"/>
      <c r="CI217" s="65"/>
      <c r="CJ217" s="65"/>
      <c r="CK217" s="65"/>
      <c r="CL217" s="65"/>
      <c r="CM217" s="65"/>
      <c r="CN217" s="65"/>
      <c r="CO217" s="65"/>
      <c r="CP217" s="65"/>
      <c r="CQ217" s="65"/>
      <c r="CR217" s="65"/>
      <c r="CS217" s="65"/>
      <c r="CT217" s="65"/>
      <c r="CU217" s="65"/>
      <c r="CV217" s="65"/>
      <c r="CW217" s="65"/>
      <c r="CX217" s="65"/>
    </row>
    <row r="218" spans="1:102" s="6" customForma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  <c r="AW218" s="65"/>
      <c r="AX218" s="65"/>
      <c r="AY218" s="65"/>
      <c r="AZ218" s="65"/>
      <c r="BA218" s="65"/>
      <c r="BB218" s="65"/>
      <c r="BC218" s="65"/>
      <c r="BD218" s="65"/>
      <c r="BE218" s="65"/>
      <c r="BF218" s="65"/>
      <c r="BG218" s="65"/>
      <c r="BH218" s="65"/>
      <c r="BI218" s="65"/>
      <c r="BJ218" s="65"/>
      <c r="BK218" s="65"/>
      <c r="BL218" s="65"/>
      <c r="BM218" s="65"/>
      <c r="BN218" s="65"/>
      <c r="BO218" s="65"/>
      <c r="BP218" s="65"/>
      <c r="BQ218" s="65"/>
      <c r="BR218" s="65"/>
      <c r="BS218" s="65"/>
      <c r="BT218" s="65"/>
      <c r="BU218" s="65"/>
      <c r="BV218" s="65"/>
      <c r="BW218" s="65"/>
      <c r="BX218" s="65"/>
      <c r="BY218" s="65"/>
      <c r="BZ218" s="65"/>
      <c r="CA218" s="65"/>
      <c r="CB218" s="65"/>
      <c r="CC218" s="65"/>
      <c r="CD218" s="65"/>
      <c r="CE218" s="65"/>
      <c r="CF218" s="65"/>
      <c r="CG218" s="65"/>
      <c r="CH218" s="65"/>
      <c r="CI218" s="65"/>
      <c r="CJ218" s="65"/>
      <c r="CK218" s="65"/>
      <c r="CL218" s="65"/>
      <c r="CM218" s="65"/>
      <c r="CN218" s="65"/>
      <c r="CO218" s="65"/>
      <c r="CP218" s="65"/>
      <c r="CQ218" s="65"/>
      <c r="CR218" s="65"/>
      <c r="CS218" s="65"/>
      <c r="CT218" s="65"/>
      <c r="CU218" s="65"/>
      <c r="CV218" s="65"/>
      <c r="CW218" s="65"/>
      <c r="CX218" s="65"/>
    </row>
    <row r="219" spans="1:102" s="6" customForma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  <c r="BE219" s="65"/>
      <c r="BF219" s="65"/>
      <c r="BG219" s="65"/>
      <c r="BH219" s="65"/>
      <c r="BI219" s="65"/>
      <c r="BJ219" s="65"/>
      <c r="BK219" s="65"/>
      <c r="BL219" s="65"/>
      <c r="BM219" s="65"/>
      <c r="BN219" s="65"/>
      <c r="BO219" s="65"/>
      <c r="BP219" s="65"/>
      <c r="BQ219" s="65"/>
      <c r="BR219" s="65"/>
      <c r="BS219" s="65"/>
      <c r="BT219" s="65"/>
      <c r="BU219" s="65"/>
      <c r="BV219" s="65"/>
      <c r="BW219" s="65"/>
      <c r="BX219" s="65"/>
      <c r="BY219" s="65"/>
      <c r="BZ219" s="65"/>
      <c r="CA219" s="65"/>
      <c r="CB219" s="65"/>
      <c r="CC219" s="65"/>
      <c r="CD219" s="65"/>
      <c r="CE219" s="65"/>
      <c r="CF219" s="65"/>
      <c r="CG219" s="65"/>
      <c r="CH219" s="65"/>
      <c r="CI219" s="65"/>
      <c r="CJ219" s="65"/>
      <c r="CK219" s="65"/>
      <c r="CL219" s="65"/>
      <c r="CM219" s="65"/>
      <c r="CN219" s="65"/>
      <c r="CO219" s="65"/>
      <c r="CP219" s="65"/>
      <c r="CQ219" s="65"/>
      <c r="CR219" s="65"/>
      <c r="CS219" s="65"/>
      <c r="CT219" s="65"/>
      <c r="CU219" s="65"/>
      <c r="CV219" s="65"/>
      <c r="CW219" s="65"/>
      <c r="CX219" s="65"/>
    </row>
    <row r="220" spans="1:102" s="6" customForma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  <c r="AW220" s="65"/>
      <c r="AX220" s="65"/>
      <c r="AY220" s="65"/>
      <c r="AZ220" s="65"/>
      <c r="BA220" s="65"/>
      <c r="BB220" s="65"/>
      <c r="BC220" s="65"/>
      <c r="BD220" s="65"/>
      <c r="BE220" s="65"/>
      <c r="BF220" s="65"/>
      <c r="BG220" s="65"/>
      <c r="BH220" s="65"/>
      <c r="BI220" s="65"/>
      <c r="BJ220" s="65"/>
      <c r="BK220" s="65"/>
      <c r="BL220" s="65"/>
      <c r="BM220" s="65"/>
      <c r="BN220" s="65"/>
      <c r="BO220" s="65"/>
      <c r="BP220" s="65"/>
      <c r="BQ220" s="65"/>
      <c r="BR220" s="65"/>
      <c r="BS220" s="65"/>
      <c r="BT220" s="65"/>
      <c r="BU220" s="65"/>
      <c r="BV220" s="65"/>
      <c r="BW220" s="65"/>
      <c r="BX220" s="65"/>
      <c r="BY220" s="65"/>
      <c r="BZ220" s="65"/>
      <c r="CA220" s="65"/>
      <c r="CB220" s="65"/>
      <c r="CC220" s="65"/>
      <c r="CD220" s="65"/>
      <c r="CE220" s="65"/>
      <c r="CF220" s="65"/>
      <c r="CG220" s="65"/>
      <c r="CH220" s="65"/>
      <c r="CI220" s="65"/>
      <c r="CJ220" s="65"/>
      <c r="CK220" s="65"/>
      <c r="CL220" s="65"/>
      <c r="CM220" s="65"/>
      <c r="CN220" s="65"/>
      <c r="CO220" s="65"/>
      <c r="CP220" s="65"/>
      <c r="CQ220" s="65"/>
      <c r="CR220" s="65"/>
      <c r="CS220" s="65"/>
      <c r="CT220" s="65"/>
      <c r="CU220" s="65"/>
      <c r="CV220" s="65"/>
      <c r="CW220" s="65"/>
      <c r="CX220" s="65"/>
    </row>
    <row r="221" spans="1:102" s="6" customFormat="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  <c r="AW221" s="65"/>
      <c r="AX221" s="65"/>
      <c r="AY221" s="65"/>
      <c r="AZ221" s="65"/>
      <c r="BA221" s="65"/>
      <c r="BB221" s="65"/>
      <c r="BC221" s="65"/>
      <c r="BD221" s="65"/>
      <c r="BE221" s="65"/>
      <c r="BF221" s="65"/>
      <c r="BG221" s="65"/>
      <c r="BH221" s="65"/>
      <c r="BI221" s="65"/>
      <c r="BJ221" s="65"/>
      <c r="BK221" s="65"/>
      <c r="BL221" s="65"/>
      <c r="BM221" s="65"/>
      <c r="BN221" s="65"/>
      <c r="BO221" s="65"/>
      <c r="BP221" s="65"/>
      <c r="BQ221" s="65"/>
      <c r="BR221" s="65"/>
      <c r="BS221" s="65"/>
      <c r="BT221" s="65"/>
      <c r="BU221" s="65"/>
      <c r="BV221" s="65"/>
      <c r="BW221" s="65"/>
      <c r="BX221" s="65"/>
      <c r="BY221" s="65"/>
      <c r="BZ221" s="65"/>
      <c r="CA221" s="65"/>
      <c r="CB221" s="65"/>
      <c r="CC221" s="65"/>
      <c r="CD221" s="65"/>
      <c r="CE221" s="65"/>
      <c r="CF221" s="65"/>
      <c r="CG221" s="65"/>
      <c r="CH221" s="65"/>
      <c r="CI221" s="65"/>
      <c r="CJ221" s="65"/>
      <c r="CK221" s="65"/>
      <c r="CL221" s="65"/>
      <c r="CM221" s="65"/>
      <c r="CN221" s="65"/>
      <c r="CO221" s="65"/>
      <c r="CP221" s="65"/>
      <c r="CQ221" s="65"/>
      <c r="CR221" s="65"/>
      <c r="CS221" s="65"/>
      <c r="CT221" s="65"/>
      <c r="CU221" s="65"/>
      <c r="CV221" s="65"/>
      <c r="CW221" s="65"/>
      <c r="CX221" s="65"/>
    </row>
    <row r="222" spans="1:102" s="6" customFormat="1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  <c r="BD222" s="65"/>
      <c r="BE222" s="65"/>
      <c r="BF222" s="65"/>
      <c r="BG222" s="65"/>
      <c r="BH222" s="65"/>
      <c r="BI222" s="65"/>
      <c r="BJ222" s="65"/>
      <c r="BK222" s="65"/>
      <c r="BL222" s="65"/>
      <c r="BM222" s="65"/>
      <c r="BN222" s="65"/>
      <c r="BO222" s="65"/>
      <c r="BP222" s="65"/>
      <c r="BQ222" s="65"/>
      <c r="BR222" s="65"/>
      <c r="BS222" s="65"/>
      <c r="BT222" s="65"/>
      <c r="BU222" s="65"/>
      <c r="BV222" s="65"/>
      <c r="BW222" s="65"/>
      <c r="BX222" s="65"/>
      <c r="BY222" s="65"/>
      <c r="BZ222" s="65"/>
      <c r="CA222" s="65"/>
      <c r="CB222" s="65"/>
      <c r="CC222" s="65"/>
      <c r="CD222" s="65"/>
      <c r="CE222" s="65"/>
      <c r="CF222" s="65"/>
      <c r="CG222" s="65"/>
      <c r="CH222" s="65"/>
      <c r="CI222" s="65"/>
      <c r="CJ222" s="65"/>
      <c r="CK222" s="65"/>
      <c r="CL222" s="65"/>
      <c r="CM222" s="65"/>
      <c r="CN222" s="65"/>
      <c r="CO222" s="65"/>
      <c r="CP222" s="65"/>
      <c r="CQ222" s="65"/>
      <c r="CR222" s="65"/>
      <c r="CS222" s="65"/>
      <c r="CT222" s="65"/>
      <c r="CU222" s="65"/>
      <c r="CV222" s="65"/>
      <c r="CW222" s="65"/>
      <c r="CX222" s="65"/>
    </row>
    <row r="223" spans="1:102" s="6" customFormat="1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  <c r="BD223" s="65"/>
      <c r="BE223" s="65"/>
      <c r="BF223" s="65"/>
      <c r="BG223" s="65"/>
      <c r="BH223" s="65"/>
      <c r="BI223" s="65"/>
      <c r="BJ223" s="65"/>
      <c r="BK223" s="65"/>
      <c r="BL223" s="65"/>
      <c r="BM223" s="65"/>
      <c r="BN223" s="65"/>
      <c r="BO223" s="65"/>
      <c r="BP223" s="65"/>
      <c r="BQ223" s="65"/>
      <c r="BR223" s="65"/>
      <c r="BS223" s="65"/>
      <c r="BT223" s="65"/>
      <c r="BU223" s="65"/>
      <c r="BV223" s="65"/>
      <c r="BW223" s="65"/>
      <c r="BX223" s="65"/>
      <c r="BY223" s="65"/>
      <c r="BZ223" s="65"/>
      <c r="CA223" s="65"/>
      <c r="CB223" s="65"/>
      <c r="CC223" s="65"/>
      <c r="CD223" s="65"/>
      <c r="CE223" s="65"/>
      <c r="CF223" s="65"/>
      <c r="CG223" s="65"/>
      <c r="CH223" s="65"/>
      <c r="CI223" s="65"/>
      <c r="CJ223" s="65"/>
      <c r="CK223" s="65"/>
      <c r="CL223" s="65"/>
      <c r="CM223" s="65"/>
      <c r="CN223" s="65"/>
      <c r="CO223" s="65"/>
      <c r="CP223" s="65"/>
      <c r="CQ223" s="65"/>
      <c r="CR223" s="65"/>
      <c r="CS223" s="65"/>
      <c r="CT223" s="65"/>
      <c r="CU223" s="65"/>
      <c r="CV223" s="65"/>
      <c r="CW223" s="65"/>
      <c r="CX223" s="65"/>
    </row>
    <row r="224" spans="1:102" s="6" customForma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65"/>
      <c r="BH224" s="65"/>
      <c r="BI224" s="65"/>
      <c r="BJ224" s="65"/>
      <c r="BK224" s="65"/>
      <c r="BL224" s="65"/>
      <c r="BM224" s="65"/>
      <c r="BN224" s="65"/>
      <c r="BO224" s="65"/>
      <c r="BP224" s="65"/>
      <c r="BQ224" s="65"/>
      <c r="BR224" s="65"/>
      <c r="BS224" s="65"/>
      <c r="BT224" s="65"/>
      <c r="BU224" s="65"/>
      <c r="BV224" s="65"/>
      <c r="BW224" s="65"/>
      <c r="BX224" s="65"/>
      <c r="BY224" s="65"/>
      <c r="BZ224" s="65"/>
      <c r="CA224" s="65"/>
      <c r="CB224" s="65"/>
      <c r="CC224" s="65"/>
      <c r="CD224" s="65"/>
      <c r="CE224" s="65"/>
      <c r="CF224" s="65"/>
      <c r="CG224" s="65"/>
      <c r="CH224" s="65"/>
      <c r="CI224" s="65"/>
      <c r="CJ224" s="65"/>
      <c r="CK224" s="65"/>
      <c r="CL224" s="65"/>
      <c r="CM224" s="65"/>
      <c r="CN224" s="65"/>
      <c r="CO224" s="65"/>
      <c r="CP224" s="65"/>
      <c r="CQ224" s="65"/>
      <c r="CR224" s="65"/>
      <c r="CS224" s="65"/>
      <c r="CT224" s="65"/>
      <c r="CU224" s="65"/>
      <c r="CV224" s="65"/>
      <c r="CW224" s="65"/>
      <c r="CX224" s="65"/>
    </row>
    <row r="225" spans="1:102" s="6" customForma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  <c r="AW225" s="65"/>
      <c r="AX225" s="65"/>
      <c r="AY225" s="65"/>
      <c r="AZ225" s="65"/>
      <c r="BA225" s="65"/>
      <c r="BB225" s="65"/>
      <c r="BC225" s="65"/>
      <c r="BD225" s="65"/>
      <c r="BE225" s="65"/>
      <c r="BF225" s="65"/>
      <c r="BG225" s="65"/>
      <c r="BH225" s="65"/>
      <c r="BI225" s="65"/>
      <c r="BJ225" s="65"/>
      <c r="BK225" s="65"/>
      <c r="BL225" s="65"/>
      <c r="BM225" s="65"/>
      <c r="BN225" s="65"/>
      <c r="BO225" s="65"/>
      <c r="BP225" s="65"/>
      <c r="BQ225" s="65"/>
      <c r="BR225" s="65"/>
      <c r="BS225" s="65"/>
      <c r="BT225" s="65"/>
      <c r="BU225" s="65"/>
      <c r="BV225" s="65"/>
      <c r="BW225" s="65"/>
      <c r="BX225" s="65"/>
      <c r="BY225" s="65"/>
      <c r="BZ225" s="65"/>
      <c r="CA225" s="65"/>
      <c r="CB225" s="65"/>
      <c r="CC225" s="65"/>
      <c r="CD225" s="65"/>
      <c r="CE225" s="65"/>
      <c r="CF225" s="65"/>
      <c r="CG225" s="65"/>
      <c r="CH225" s="65"/>
      <c r="CI225" s="65"/>
      <c r="CJ225" s="65"/>
      <c r="CK225" s="65"/>
      <c r="CL225" s="65"/>
      <c r="CM225" s="65"/>
      <c r="CN225" s="65"/>
      <c r="CO225" s="65"/>
      <c r="CP225" s="65"/>
      <c r="CQ225" s="65"/>
      <c r="CR225" s="65"/>
      <c r="CS225" s="65"/>
      <c r="CT225" s="65"/>
      <c r="CU225" s="65"/>
      <c r="CV225" s="65"/>
      <c r="CW225" s="65"/>
      <c r="CX225" s="65"/>
    </row>
    <row r="226" spans="1:102" s="6" customForma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5"/>
      <c r="AT226" s="65"/>
      <c r="AU226" s="65"/>
      <c r="AV226" s="65"/>
      <c r="AW226" s="65"/>
      <c r="AX226" s="65"/>
      <c r="AY226" s="65"/>
      <c r="AZ226" s="65"/>
      <c r="BA226" s="65"/>
      <c r="BB226" s="65"/>
      <c r="BC226" s="65"/>
      <c r="BD226" s="65"/>
      <c r="BE226" s="65"/>
      <c r="BF226" s="65"/>
      <c r="BG226" s="65"/>
      <c r="BH226" s="65"/>
      <c r="BI226" s="65"/>
      <c r="BJ226" s="65"/>
      <c r="BK226" s="65"/>
      <c r="BL226" s="65"/>
      <c r="BM226" s="65"/>
      <c r="BN226" s="65"/>
      <c r="BO226" s="65"/>
      <c r="BP226" s="65"/>
      <c r="BQ226" s="65"/>
      <c r="BR226" s="65"/>
      <c r="BS226" s="65"/>
      <c r="BT226" s="65"/>
      <c r="BU226" s="65"/>
      <c r="BV226" s="65"/>
      <c r="BW226" s="65"/>
      <c r="BX226" s="65"/>
      <c r="BY226" s="65"/>
      <c r="BZ226" s="65"/>
      <c r="CA226" s="65"/>
      <c r="CB226" s="65"/>
      <c r="CC226" s="65"/>
      <c r="CD226" s="65"/>
      <c r="CE226" s="65"/>
      <c r="CF226" s="65"/>
      <c r="CG226" s="65"/>
      <c r="CH226" s="65"/>
      <c r="CI226" s="65"/>
      <c r="CJ226" s="65"/>
      <c r="CK226" s="65"/>
      <c r="CL226" s="65"/>
      <c r="CM226" s="65"/>
      <c r="CN226" s="65"/>
      <c r="CO226" s="65"/>
      <c r="CP226" s="65"/>
      <c r="CQ226" s="65"/>
      <c r="CR226" s="65"/>
      <c r="CS226" s="65"/>
      <c r="CT226" s="65"/>
      <c r="CU226" s="65"/>
      <c r="CV226" s="65"/>
      <c r="CW226" s="65"/>
      <c r="CX226" s="65"/>
    </row>
    <row r="227" spans="1:102" s="6" customForma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/>
      <c r="AX227" s="65"/>
      <c r="AY227" s="65"/>
      <c r="AZ227" s="65"/>
      <c r="BA227" s="65"/>
      <c r="BB227" s="65"/>
      <c r="BC227" s="65"/>
      <c r="BD227" s="65"/>
      <c r="BE227" s="65"/>
      <c r="BF227" s="65"/>
      <c r="BG227" s="65"/>
      <c r="BH227" s="65"/>
      <c r="BI227" s="65"/>
      <c r="BJ227" s="65"/>
      <c r="BK227" s="65"/>
      <c r="BL227" s="65"/>
      <c r="BM227" s="65"/>
      <c r="BN227" s="65"/>
      <c r="BO227" s="65"/>
      <c r="BP227" s="65"/>
      <c r="BQ227" s="65"/>
      <c r="BR227" s="65"/>
      <c r="BS227" s="65"/>
      <c r="BT227" s="65"/>
      <c r="BU227" s="65"/>
      <c r="BV227" s="65"/>
      <c r="BW227" s="65"/>
      <c r="BX227" s="65"/>
      <c r="BY227" s="65"/>
      <c r="BZ227" s="65"/>
      <c r="CA227" s="65"/>
      <c r="CB227" s="65"/>
      <c r="CC227" s="65"/>
      <c r="CD227" s="65"/>
      <c r="CE227" s="65"/>
      <c r="CF227" s="65"/>
      <c r="CG227" s="65"/>
      <c r="CH227" s="65"/>
      <c r="CI227" s="65"/>
      <c r="CJ227" s="65"/>
      <c r="CK227" s="65"/>
      <c r="CL227" s="65"/>
      <c r="CM227" s="65"/>
      <c r="CN227" s="65"/>
      <c r="CO227" s="65"/>
      <c r="CP227" s="65"/>
      <c r="CQ227" s="65"/>
      <c r="CR227" s="65"/>
      <c r="CS227" s="65"/>
      <c r="CT227" s="65"/>
      <c r="CU227" s="65"/>
      <c r="CV227" s="65"/>
      <c r="CW227" s="65"/>
      <c r="CX227" s="65"/>
    </row>
    <row r="228" spans="1:102" s="6" customForma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5"/>
      <c r="AT228" s="65"/>
      <c r="AU228" s="65"/>
      <c r="AV228" s="65"/>
      <c r="AW228" s="65"/>
      <c r="AX228" s="65"/>
      <c r="AY228" s="65"/>
      <c r="AZ228" s="65"/>
      <c r="BA228" s="65"/>
      <c r="BB228" s="65"/>
      <c r="BC228" s="65"/>
      <c r="BD228" s="65"/>
      <c r="BE228" s="65"/>
      <c r="BF228" s="65"/>
      <c r="BG228" s="65"/>
      <c r="BH228" s="65"/>
      <c r="BI228" s="65"/>
      <c r="BJ228" s="65"/>
      <c r="BK228" s="65"/>
      <c r="BL228" s="65"/>
      <c r="BM228" s="65"/>
      <c r="BN228" s="65"/>
      <c r="BO228" s="65"/>
      <c r="BP228" s="65"/>
      <c r="BQ228" s="65"/>
      <c r="BR228" s="65"/>
      <c r="BS228" s="65"/>
      <c r="BT228" s="65"/>
      <c r="BU228" s="65"/>
      <c r="BV228" s="65"/>
      <c r="BW228" s="65"/>
      <c r="BX228" s="65"/>
      <c r="BY228" s="65"/>
      <c r="BZ228" s="65"/>
      <c r="CA228" s="65"/>
      <c r="CB228" s="65"/>
      <c r="CC228" s="65"/>
      <c r="CD228" s="65"/>
      <c r="CE228" s="65"/>
      <c r="CF228" s="65"/>
      <c r="CG228" s="65"/>
      <c r="CH228" s="65"/>
      <c r="CI228" s="65"/>
      <c r="CJ228" s="65"/>
      <c r="CK228" s="65"/>
      <c r="CL228" s="65"/>
      <c r="CM228" s="65"/>
      <c r="CN228" s="65"/>
      <c r="CO228" s="65"/>
      <c r="CP228" s="65"/>
      <c r="CQ228" s="65"/>
      <c r="CR228" s="65"/>
      <c r="CS228" s="65"/>
      <c r="CT228" s="65"/>
      <c r="CU228" s="65"/>
      <c r="CV228" s="65"/>
      <c r="CW228" s="65"/>
      <c r="CX228" s="65"/>
    </row>
    <row r="229" spans="1:102" s="6" customForma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  <c r="AW229" s="65"/>
      <c r="AX229" s="65"/>
      <c r="AY229" s="65"/>
      <c r="AZ229" s="65"/>
      <c r="BA229" s="65"/>
      <c r="BB229" s="65"/>
      <c r="BC229" s="65"/>
      <c r="BD229" s="65"/>
      <c r="BE229" s="65"/>
      <c r="BF229" s="65"/>
      <c r="BG229" s="65"/>
      <c r="BH229" s="65"/>
      <c r="BI229" s="65"/>
      <c r="BJ229" s="65"/>
      <c r="BK229" s="65"/>
      <c r="BL229" s="65"/>
      <c r="BM229" s="65"/>
      <c r="BN229" s="65"/>
      <c r="BO229" s="65"/>
      <c r="BP229" s="65"/>
      <c r="BQ229" s="65"/>
      <c r="BR229" s="65"/>
      <c r="BS229" s="65"/>
      <c r="BT229" s="65"/>
      <c r="BU229" s="65"/>
      <c r="BV229" s="65"/>
      <c r="BW229" s="65"/>
      <c r="BX229" s="65"/>
      <c r="BY229" s="65"/>
      <c r="BZ229" s="65"/>
      <c r="CA229" s="65"/>
      <c r="CB229" s="65"/>
      <c r="CC229" s="65"/>
      <c r="CD229" s="65"/>
      <c r="CE229" s="65"/>
      <c r="CF229" s="65"/>
      <c r="CG229" s="65"/>
      <c r="CH229" s="65"/>
      <c r="CI229" s="65"/>
      <c r="CJ229" s="65"/>
      <c r="CK229" s="65"/>
      <c r="CL229" s="65"/>
      <c r="CM229" s="65"/>
      <c r="CN229" s="65"/>
      <c r="CO229" s="65"/>
      <c r="CP229" s="65"/>
      <c r="CQ229" s="65"/>
      <c r="CR229" s="65"/>
      <c r="CS229" s="65"/>
      <c r="CT229" s="65"/>
      <c r="CU229" s="65"/>
      <c r="CV229" s="65"/>
      <c r="CW229" s="65"/>
      <c r="CX229" s="65"/>
    </row>
    <row r="230" spans="1:102" s="6" customForma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5"/>
      <c r="AT230" s="65"/>
      <c r="AU230" s="65"/>
      <c r="AV230" s="65"/>
      <c r="AW230" s="65"/>
      <c r="AX230" s="65"/>
      <c r="AY230" s="65"/>
      <c r="AZ230" s="65"/>
      <c r="BA230" s="65"/>
      <c r="BB230" s="65"/>
      <c r="BC230" s="65"/>
      <c r="BD230" s="65"/>
      <c r="BE230" s="65"/>
      <c r="BF230" s="65"/>
      <c r="BG230" s="65"/>
      <c r="BH230" s="65"/>
      <c r="BI230" s="65"/>
      <c r="BJ230" s="65"/>
      <c r="BK230" s="65"/>
      <c r="BL230" s="65"/>
      <c r="BM230" s="65"/>
      <c r="BN230" s="65"/>
      <c r="BO230" s="65"/>
      <c r="BP230" s="65"/>
      <c r="BQ230" s="65"/>
      <c r="BR230" s="65"/>
      <c r="BS230" s="65"/>
      <c r="BT230" s="65"/>
      <c r="BU230" s="65"/>
      <c r="BV230" s="65"/>
      <c r="BW230" s="65"/>
      <c r="BX230" s="65"/>
      <c r="BY230" s="65"/>
      <c r="BZ230" s="65"/>
      <c r="CA230" s="65"/>
      <c r="CB230" s="65"/>
      <c r="CC230" s="65"/>
      <c r="CD230" s="65"/>
      <c r="CE230" s="65"/>
      <c r="CF230" s="65"/>
      <c r="CG230" s="65"/>
      <c r="CH230" s="65"/>
      <c r="CI230" s="65"/>
      <c r="CJ230" s="65"/>
      <c r="CK230" s="65"/>
      <c r="CL230" s="65"/>
      <c r="CM230" s="65"/>
      <c r="CN230" s="65"/>
      <c r="CO230" s="65"/>
      <c r="CP230" s="65"/>
      <c r="CQ230" s="65"/>
      <c r="CR230" s="65"/>
      <c r="CS230" s="65"/>
      <c r="CT230" s="65"/>
      <c r="CU230" s="65"/>
      <c r="CV230" s="65"/>
      <c r="CW230" s="65"/>
      <c r="CX230" s="65"/>
    </row>
    <row r="231" spans="1:102" s="6" customForma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  <c r="AW231" s="65"/>
      <c r="AX231" s="65"/>
      <c r="AY231" s="65"/>
      <c r="AZ231" s="65"/>
      <c r="BA231" s="65"/>
      <c r="BB231" s="65"/>
      <c r="BC231" s="65"/>
      <c r="BD231" s="65"/>
      <c r="BE231" s="65"/>
      <c r="BF231" s="65"/>
      <c r="BG231" s="65"/>
      <c r="BH231" s="65"/>
      <c r="BI231" s="65"/>
      <c r="BJ231" s="65"/>
      <c r="BK231" s="65"/>
      <c r="BL231" s="65"/>
      <c r="BM231" s="65"/>
      <c r="BN231" s="65"/>
      <c r="BO231" s="65"/>
      <c r="BP231" s="65"/>
      <c r="BQ231" s="65"/>
      <c r="BR231" s="65"/>
      <c r="BS231" s="65"/>
      <c r="BT231" s="65"/>
      <c r="BU231" s="65"/>
      <c r="BV231" s="65"/>
      <c r="BW231" s="65"/>
      <c r="BX231" s="65"/>
      <c r="BY231" s="65"/>
      <c r="BZ231" s="65"/>
      <c r="CA231" s="65"/>
      <c r="CB231" s="65"/>
      <c r="CC231" s="65"/>
      <c r="CD231" s="65"/>
      <c r="CE231" s="65"/>
      <c r="CF231" s="65"/>
      <c r="CG231" s="65"/>
      <c r="CH231" s="65"/>
      <c r="CI231" s="65"/>
      <c r="CJ231" s="65"/>
      <c r="CK231" s="65"/>
      <c r="CL231" s="65"/>
      <c r="CM231" s="65"/>
      <c r="CN231" s="65"/>
      <c r="CO231" s="65"/>
      <c r="CP231" s="65"/>
      <c r="CQ231" s="65"/>
      <c r="CR231" s="65"/>
      <c r="CS231" s="65"/>
      <c r="CT231" s="65"/>
      <c r="CU231" s="65"/>
      <c r="CV231" s="65"/>
      <c r="CW231" s="65"/>
      <c r="CX231" s="65"/>
    </row>
    <row r="232" spans="1:102" s="6" customForma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  <c r="AW232" s="65"/>
      <c r="AX232" s="65"/>
      <c r="AY232" s="65"/>
      <c r="AZ232" s="65"/>
      <c r="BA232" s="65"/>
      <c r="BB232" s="65"/>
      <c r="BC232" s="65"/>
      <c r="BD232" s="65"/>
      <c r="BE232" s="65"/>
      <c r="BF232" s="65"/>
      <c r="BG232" s="65"/>
      <c r="BH232" s="65"/>
      <c r="BI232" s="65"/>
      <c r="BJ232" s="65"/>
      <c r="BK232" s="65"/>
      <c r="BL232" s="65"/>
      <c r="BM232" s="65"/>
      <c r="BN232" s="65"/>
      <c r="BO232" s="65"/>
      <c r="BP232" s="65"/>
      <c r="BQ232" s="65"/>
      <c r="BR232" s="65"/>
      <c r="BS232" s="65"/>
      <c r="BT232" s="65"/>
      <c r="BU232" s="65"/>
      <c r="BV232" s="65"/>
      <c r="BW232" s="65"/>
      <c r="BX232" s="65"/>
      <c r="BY232" s="65"/>
      <c r="BZ232" s="65"/>
      <c r="CA232" s="65"/>
      <c r="CB232" s="65"/>
      <c r="CC232" s="65"/>
      <c r="CD232" s="65"/>
      <c r="CE232" s="65"/>
      <c r="CF232" s="65"/>
      <c r="CG232" s="65"/>
      <c r="CH232" s="65"/>
      <c r="CI232" s="65"/>
      <c r="CJ232" s="65"/>
      <c r="CK232" s="65"/>
      <c r="CL232" s="65"/>
      <c r="CM232" s="65"/>
      <c r="CN232" s="65"/>
      <c r="CO232" s="65"/>
      <c r="CP232" s="65"/>
      <c r="CQ232" s="65"/>
      <c r="CR232" s="65"/>
      <c r="CS232" s="65"/>
      <c r="CT232" s="65"/>
      <c r="CU232" s="65"/>
      <c r="CV232" s="65"/>
      <c r="CW232" s="65"/>
      <c r="CX232" s="65"/>
    </row>
    <row r="233" spans="1:102" s="6" customForma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  <c r="BD233" s="65"/>
      <c r="BE233" s="65"/>
      <c r="BF233" s="65"/>
      <c r="BG233" s="65"/>
      <c r="BH233" s="65"/>
      <c r="BI233" s="65"/>
      <c r="BJ233" s="65"/>
      <c r="BK233" s="65"/>
      <c r="BL233" s="65"/>
      <c r="BM233" s="65"/>
      <c r="BN233" s="65"/>
      <c r="BO233" s="65"/>
      <c r="BP233" s="65"/>
      <c r="BQ233" s="65"/>
      <c r="BR233" s="65"/>
      <c r="BS233" s="65"/>
      <c r="BT233" s="65"/>
      <c r="BU233" s="65"/>
      <c r="BV233" s="65"/>
      <c r="BW233" s="65"/>
      <c r="BX233" s="65"/>
      <c r="BY233" s="65"/>
      <c r="BZ233" s="65"/>
      <c r="CA233" s="65"/>
      <c r="CB233" s="65"/>
      <c r="CC233" s="65"/>
      <c r="CD233" s="65"/>
      <c r="CE233" s="65"/>
      <c r="CF233" s="65"/>
      <c r="CG233" s="65"/>
      <c r="CH233" s="65"/>
      <c r="CI233" s="65"/>
      <c r="CJ233" s="65"/>
      <c r="CK233" s="65"/>
      <c r="CL233" s="65"/>
      <c r="CM233" s="65"/>
      <c r="CN233" s="65"/>
      <c r="CO233" s="65"/>
      <c r="CP233" s="65"/>
      <c r="CQ233" s="65"/>
      <c r="CR233" s="65"/>
      <c r="CS233" s="65"/>
      <c r="CT233" s="65"/>
      <c r="CU233" s="65"/>
      <c r="CV233" s="65"/>
      <c r="CW233" s="65"/>
      <c r="CX233" s="65"/>
    </row>
    <row r="234" spans="1:102" s="6" customForma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  <c r="BD234" s="65"/>
      <c r="BE234" s="65"/>
      <c r="BF234" s="65"/>
      <c r="BG234" s="65"/>
      <c r="BH234" s="65"/>
      <c r="BI234" s="65"/>
      <c r="BJ234" s="65"/>
      <c r="BK234" s="65"/>
      <c r="BL234" s="65"/>
      <c r="BM234" s="65"/>
      <c r="BN234" s="65"/>
      <c r="BO234" s="65"/>
      <c r="BP234" s="65"/>
      <c r="BQ234" s="65"/>
      <c r="BR234" s="65"/>
      <c r="BS234" s="65"/>
      <c r="BT234" s="65"/>
      <c r="BU234" s="65"/>
      <c r="BV234" s="65"/>
      <c r="BW234" s="65"/>
      <c r="BX234" s="65"/>
      <c r="BY234" s="65"/>
      <c r="BZ234" s="65"/>
      <c r="CA234" s="65"/>
      <c r="CB234" s="65"/>
      <c r="CC234" s="65"/>
      <c r="CD234" s="65"/>
      <c r="CE234" s="65"/>
      <c r="CF234" s="65"/>
      <c r="CG234" s="65"/>
      <c r="CH234" s="65"/>
      <c r="CI234" s="65"/>
      <c r="CJ234" s="65"/>
      <c r="CK234" s="65"/>
      <c r="CL234" s="65"/>
      <c r="CM234" s="65"/>
      <c r="CN234" s="65"/>
      <c r="CO234" s="65"/>
      <c r="CP234" s="65"/>
      <c r="CQ234" s="65"/>
      <c r="CR234" s="65"/>
      <c r="CS234" s="65"/>
      <c r="CT234" s="65"/>
      <c r="CU234" s="65"/>
      <c r="CV234" s="65"/>
      <c r="CW234" s="65"/>
      <c r="CX234" s="65"/>
    </row>
    <row r="235" spans="1:102" s="6" customForma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  <c r="BE235" s="65"/>
      <c r="BF235" s="65"/>
      <c r="BG235" s="65"/>
      <c r="BH235" s="65"/>
      <c r="BI235" s="65"/>
      <c r="BJ235" s="65"/>
      <c r="BK235" s="65"/>
      <c r="BL235" s="65"/>
      <c r="BM235" s="65"/>
      <c r="BN235" s="65"/>
      <c r="BO235" s="65"/>
      <c r="BP235" s="65"/>
      <c r="BQ235" s="65"/>
      <c r="BR235" s="65"/>
      <c r="BS235" s="65"/>
      <c r="BT235" s="65"/>
      <c r="BU235" s="65"/>
      <c r="BV235" s="65"/>
      <c r="BW235" s="65"/>
      <c r="BX235" s="65"/>
      <c r="BY235" s="65"/>
      <c r="BZ235" s="65"/>
      <c r="CA235" s="65"/>
      <c r="CB235" s="65"/>
      <c r="CC235" s="65"/>
      <c r="CD235" s="65"/>
      <c r="CE235" s="65"/>
      <c r="CF235" s="65"/>
      <c r="CG235" s="65"/>
      <c r="CH235" s="65"/>
      <c r="CI235" s="65"/>
      <c r="CJ235" s="65"/>
      <c r="CK235" s="65"/>
      <c r="CL235" s="65"/>
      <c r="CM235" s="65"/>
      <c r="CN235" s="65"/>
      <c r="CO235" s="65"/>
      <c r="CP235" s="65"/>
      <c r="CQ235" s="65"/>
      <c r="CR235" s="65"/>
      <c r="CS235" s="65"/>
      <c r="CT235" s="65"/>
      <c r="CU235" s="65"/>
      <c r="CV235" s="65"/>
      <c r="CW235" s="65"/>
      <c r="CX235" s="65"/>
    </row>
    <row r="236" spans="1:102" s="6" customForma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/>
      <c r="AX236" s="65"/>
      <c r="AY236" s="65"/>
      <c r="AZ236" s="65"/>
      <c r="BA236" s="65"/>
      <c r="BB236" s="65"/>
      <c r="BC236" s="65"/>
      <c r="BD236" s="65"/>
      <c r="BE236" s="65"/>
      <c r="BF236" s="65"/>
      <c r="BG236" s="65"/>
      <c r="BH236" s="65"/>
      <c r="BI236" s="65"/>
      <c r="BJ236" s="65"/>
      <c r="BK236" s="65"/>
      <c r="BL236" s="65"/>
      <c r="BM236" s="65"/>
      <c r="BN236" s="65"/>
      <c r="BO236" s="65"/>
      <c r="BP236" s="65"/>
      <c r="BQ236" s="65"/>
      <c r="BR236" s="65"/>
      <c r="BS236" s="65"/>
      <c r="BT236" s="65"/>
      <c r="BU236" s="65"/>
      <c r="BV236" s="65"/>
      <c r="BW236" s="65"/>
      <c r="BX236" s="65"/>
      <c r="BY236" s="65"/>
      <c r="BZ236" s="65"/>
      <c r="CA236" s="65"/>
      <c r="CB236" s="65"/>
      <c r="CC236" s="65"/>
      <c r="CD236" s="65"/>
      <c r="CE236" s="65"/>
      <c r="CF236" s="65"/>
      <c r="CG236" s="65"/>
      <c r="CH236" s="65"/>
      <c r="CI236" s="65"/>
      <c r="CJ236" s="65"/>
      <c r="CK236" s="65"/>
      <c r="CL236" s="65"/>
      <c r="CM236" s="65"/>
      <c r="CN236" s="65"/>
      <c r="CO236" s="65"/>
      <c r="CP236" s="65"/>
      <c r="CQ236" s="65"/>
      <c r="CR236" s="65"/>
      <c r="CS236" s="65"/>
      <c r="CT236" s="65"/>
      <c r="CU236" s="65"/>
      <c r="CV236" s="65"/>
      <c r="CW236" s="65"/>
      <c r="CX236" s="65"/>
    </row>
    <row r="237" spans="1:102" s="6" customForma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  <c r="BE237" s="65"/>
      <c r="BF237" s="65"/>
      <c r="BG237" s="65"/>
      <c r="BH237" s="65"/>
      <c r="BI237" s="65"/>
      <c r="BJ237" s="65"/>
      <c r="BK237" s="65"/>
      <c r="BL237" s="65"/>
      <c r="BM237" s="65"/>
      <c r="BN237" s="65"/>
      <c r="BO237" s="65"/>
      <c r="BP237" s="65"/>
      <c r="BQ237" s="65"/>
      <c r="BR237" s="65"/>
      <c r="BS237" s="65"/>
      <c r="BT237" s="65"/>
      <c r="BU237" s="65"/>
      <c r="BV237" s="65"/>
      <c r="BW237" s="65"/>
      <c r="BX237" s="65"/>
      <c r="BY237" s="65"/>
      <c r="BZ237" s="65"/>
      <c r="CA237" s="65"/>
      <c r="CB237" s="65"/>
      <c r="CC237" s="65"/>
      <c r="CD237" s="65"/>
      <c r="CE237" s="65"/>
      <c r="CF237" s="65"/>
      <c r="CG237" s="65"/>
      <c r="CH237" s="65"/>
      <c r="CI237" s="65"/>
      <c r="CJ237" s="65"/>
      <c r="CK237" s="65"/>
      <c r="CL237" s="65"/>
      <c r="CM237" s="65"/>
      <c r="CN237" s="65"/>
      <c r="CO237" s="65"/>
      <c r="CP237" s="65"/>
      <c r="CQ237" s="65"/>
      <c r="CR237" s="65"/>
      <c r="CS237" s="65"/>
      <c r="CT237" s="65"/>
      <c r="CU237" s="65"/>
      <c r="CV237" s="65"/>
      <c r="CW237" s="65"/>
      <c r="CX237" s="65"/>
    </row>
    <row r="238" spans="1:102" s="6" customForma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65"/>
      <c r="BA238" s="65"/>
      <c r="BB238" s="65"/>
      <c r="BC238" s="65"/>
      <c r="BD238" s="65"/>
      <c r="BE238" s="65"/>
      <c r="BF238" s="65"/>
      <c r="BG238" s="65"/>
      <c r="BH238" s="65"/>
      <c r="BI238" s="65"/>
      <c r="BJ238" s="65"/>
      <c r="BK238" s="65"/>
      <c r="BL238" s="65"/>
      <c r="BM238" s="65"/>
      <c r="BN238" s="65"/>
      <c r="BO238" s="65"/>
      <c r="BP238" s="65"/>
      <c r="BQ238" s="65"/>
      <c r="BR238" s="65"/>
      <c r="BS238" s="65"/>
      <c r="BT238" s="65"/>
      <c r="BU238" s="65"/>
      <c r="BV238" s="65"/>
      <c r="BW238" s="65"/>
      <c r="BX238" s="65"/>
      <c r="BY238" s="65"/>
      <c r="BZ238" s="65"/>
      <c r="CA238" s="65"/>
      <c r="CB238" s="65"/>
      <c r="CC238" s="65"/>
      <c r="CD238" s="65"/>
      <c r="CE238" s="65"/>
      <c r="CF238" s="65"/>
      <c r="CG238" s="65"/>
      <c r="CH238" s="65"/>
      <c r="CI238" s="65"/>
      <c r="CJ238" s="65"/>
      <c r="CK238" s="65"/>
      <c r="CL238" s="65"/>
      <c r="CM238" s="65"/>
      <c r="CN238" s="65"/>
      <c r="CO238" s="65"/>
      <c r="CP238" s="65"/>
      <c r="CQ238" s="65"/>
      <c r="CR238" s="65"/>
      <c r="CS238" s="65"/>
      <c r="CT238" s="65"/>
      <c r="CU238" s="65"/>
      <c r="CV238" s="65"/>
      <c r="CW238" s="65"/>
      <c r="CX238" s="65"/>
    </row>
    <row r="239" spans="1:102" s="6" customForma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  <c r="AW239" s="65"/>
      <c r="AX239" s="65"/>
      <c r="AY239" s="65"/>
      <c r="AZ239" s="65"/>
      <c r="BA239" s="65"/>
      <c r="BB239" s="65"/>
      <c r="BC239" s="65"/>
      <c r="BD239" s="65"/>
      <c r="BE239" s="65"/>
      <c r="BF239" s="65"/>
      <c r="BG239" s="65"/>
      <c r="BH239" s="65"/>
      <c r="BI239" s="65"/>
      <c r="BJ239" s="65"/>
      <c r="BK239" s="65"/>
      <c r="BL239" s="65"/>
      <c r="BM239" s="65"/>
      <c r="BN239" s="65"/>
      <c r="BO239" s="65"/>
      <c r="BP239" s="65"/>
      <c r="BQ239" s="65"/>
      <c r="BR239" s="65"/>
      <c r="BS239" s="65"/>
      <c r="BT239" s="65"/>
      <c r="BU239" s="65"/>
      <c r="BV239" s="65"/>
      <c r="BW239" s="65"/>
      <c r="BX239" s="65"/>
      <c r="BY239" s="65"/>
      <c r="BZ239" s="65"/>
      <c r="CA239" s="65"/>
      <c r="CB239" s="65"/>
      <c r="CC239" s="65"/>
      <c r="CD239" s="65"/>
      <c r="CE239" s="65"/>
      <c r="CF239" s="65"/>
      <c r="CG239" s="65"/>
      <c r="CH239" s="65"/>
      <c r="CI239" s="65"/>
      <c r="CJ239" s="65"/>
      <c r="CK239" s="65"/>
      <c r="CL239" s="65"/>
      <c r="CM239" s="65"/>
      <c r="CN239" s="65"/>
      <c r="CO239" s="65"/>
      <c r="CP239" s="65"/>
      <c r="CQ239" s="65"/>
      <c r="CR239" s="65"/>
      <c r="CS239" s="65"/>
      <c r="CT239" s="65"/>
      <c r="CU239" s="65"/>
      <c r="CV239" s="65"/>
      <c r="CW239" s="65"/>
      <c r="CX239" s="65"/>
    </row>
    <row r="240" spans="1:102" s="6" customForma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  <c r="AW240" s="65"/>
      <c r="AX240" s="65"/>
      <c r="AY240" s="65"/>
      <c r="AZ240" s="65"/>
      <c r="BA240" s="65"/>
      <c r="BB240" s="65"/>
      <c r="BC240" s="65"/>
      <c r="BD240" s="65"/>
      <c r="BE240" s="65"/>
      <c r="BF240" s="65"/>
      <c r="BG240" s="65"/>
      <c r="BH240" s="65"/>
      <c r="BI240" s="65"/>
      <c r="BJ240" s="65"/>
      <c r="BK240" s="65"/>
      <c r="BL240" s="65"/>
      <c r="BM240" s="65"/>
      <c r="BN240" s="65"/>
      <c r="BO240" s="65"/>
      <c r="BP240" s="65"/>
      <c r="BQ240" s="65"/>
      <c r="BR240" s="65"/>
      <c r="BS240" s="65"/>
      <c r="BT240" s="65"/>
      <c r="BU240" s="65"/>
      <c r="BV240" s="65"/>
      <c r="BW240" s="65"/>
      <c r="BX240" s="65"/>
      <c r="BY240" s="65"/>
      <c r="BZ240" s="65"/>
      <c r="CA240" s="65"/>
      <c r="CB240" s="65"/>
      <c r="CC240" s="65"/>
      <c r="CD240" s="65"/>
      <c r="CE240" s="65"/>
      <c r="CF240" s="65"/>
      <c r="CG240" s="65"/>
      <c r="CH240" s="65"/>
      <c r="CI240" s="65"/>
      <c r="CJ240" s="65"/>
      <c r="CK240" s="65"/>
      <c r="CL240" s="65"/>
      <c r="CM240" s="65"/>
      <c r="CN240" s="65"/>
      <c r="CO240" s="65"/>
      <c r="CP240" s="65"/>
      <c r="CQ240" s="65"/>
      <c r="CR240" s="65"/>
      <c r="CS240" s="65"/>
      <c r="CT240" s="65"/>
      <c r="CU240" s="65"/>
      <c r="CV240" s="65"/>
      <c r="CW240" s="65"/>
      <c r="CX240" s="65"/>
    </row>
    <row r="241" spans="1:102" s="6" customForma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/>
      <c r="AX241" s="65"/>
      <c r="AY241" s="65"/>
      <c r="AZ241" s="65"/>
      <c r="BA241" s="65"/>
      <c r="BB241" s="65"/>
      <c r="BC241" s="65"/>
      <c r="BD241" s="65"/>
      <c r="BE241" s="65"/>
      <c r="BF241" s="65"/>
      <c r="BG241" s="65"/>
      <c r="BH241" s="65"/>
      <c r="BI241" s="65"/>
      <c r="BJ241" s="65"/>
      <c r="BK241" s="65"/>
      <c r="BL241" s="65"/>
      <c r="BM241" s="65"/>
      <c r="BN241" s="65"/>
      <c r="BO241" s="65"/>
      <c r="BP241" s="65"/>
      <c r="BQ241" s="65"/>
      <c r="BR241" s="65"/>
      <c r="BS241" s="65"/>
      <c r="BT241" s="65"/>
      <c r="BU241" s="65"/>
      <c r="BV241" s="65"/>
      <c r="BW241" s="65"/>
      <c r="BX241" s="65"/>
      <c r="BY241" s="65"/>
      <c r="BZ241" s="65"/>
      <c r="CA241" s="65"/>
      <c r="CB241" s="65"/>
      <c r="CC241" s="65"/>
      <c r="CD241" s="65"/>
      <c r="CE241" s="65"/>
      <c r="CF241" s="65"/>
      <c r="CG241" s="65"/>
      <c r="CH241" s="65"/>
      <c r="CI241" s="65"/>
      <c r="CJ241" s="65"/>
      <c r="CK241" s="65"/>
      <c r="CL241" s="65"/>
      <c r="CM241" s="65"/>
      <c r="CN241" s="65"/>
      <c r="CO241" s="65"/>
      <c r="CP241" s="65"/>
      <c r="CQ241" s="65"/>
      <c r="CR241" s="65"/>
      <c r="CS241" s="65"/>
      <c r="CT241" s="65"/>
      <c r="CU241" s="65"/>
      <c r="CV241" s="65"/>
      <c r="CW241" s="65"/>
      <c r="CX241" s="65"/>
    </row>
    <row r="242" spans="1:102" s="6" customForma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/>
      <c r="AX242" s="65"/>
      <c r="AY242" s="65"/>
      <c r="AZ242" s="65"/>
      <c r="BA242" s="65"/>
      <c r="BB242" s="65"/>
      <c r="BC242" s="65"/>
      <c r="BD242" s="65"/>
      <c r="BE242" s="65"/>
      <c r="BF242" s="65"/>
      <c r="BG242" s="65"/>
      <c r="BH242" s="65"/>
      <c r="BI242" s="65"/>
      <c r="BJ242" s="65"/>
      <c r="BK242" s="65"/>
      <c r="BL242" s="65"/>
      <c r="BM242" s="65"/>
      <c r="BN242" s="65"/>
      <c r="BO242" s="65"/>
      <c r="BP242" s="65"/>
      <c r="BQ242" s="65"/>
      <c r="BR242" s="65"/>
      <c r="BS242" s="65"/>
      <c r="BT242" s="65"/>
      <c r="BU242" s="65"/>
      <c r="BV242" s="65"/>
      <c r="BW242" s="65"/>
      <c r="BX242" s="65"/>
      <c r="BY242" s="65"/>
      <c r="BZ242" s="65"/>
      <c r="CA242" s="65"/>
      <c r="CB242" s="65"/>
      <c r="CC242" s="65"/>
      <c r="CD242" s="65"/>
      <c r="CE242" s="65"/>
      <c r="CF242" s="65"/>
      <c r="CG242" s="65"/>
      <c r="CH242" s="65"/>
      <c r="CI242" s="65"/>
      <c r="CJ242" s="65"/>
      <c r="CK242" s="65"/>
      <c r="CL242" s="65"/>
      <c r="CM242" s="65"/>
      <c r="CN242" s="65"/>
      <c r="CO242" s="65"/>
      <c r="CP242" s="65"/>
      <c r="CQ242" s="65"/>
      <c r="CR242" s="65"/>
      <c r="CS242" s="65"/>
      <c r="CT242" s="65"/>
      <c r="CU242" s="65"/>
      <c r="CV242" s="65"/>
      <c r="CW242" s="65"/>
      <c r="CX242" s="65"/>
    </row>
    <row r="243" spans="1:102" s="6" customForma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5"/>
      <c r="BC243" s="65"/>
      <c r="BD243" s="65"/>
      <c r="BE243" s="65"/>
      <c r="BF243" s="65"/>
      <c r="BG243" s="65"/>
      <c r="BH243" s="65"/>
      <c r="BI243" s="65"/>
      <c r="BJ243" s="65"/>
      <c r="BK243" s="65"/>
      <c r="BL243" s="65"/>
      <c r="BM243" s="65"/>
      <c r="BN243" s="65"/>
      <c r="BO243" s="65"/>
      <c r="BP243" s="65"/>
      <c r="BQ243" s="65"/>
      <c r="BR243" s="65"/>
      <c r="BS243" s="65"/>
      <c r="BT243" s="65"/>
      <c r="BU243" s="65"/>
      <c r="BV243" s="65"/>
      <c r="BW243" s="65"/>
      <c r="BX243" s="65"/>
      <c r="BY243" s="65"/>
      <c r="BZ243" s="65"/>
      <c r="CA243" s="65"/>
      <c r="CB243" s="65"/>
      <c r="CC243" s="65"/>
      <c r="CD243" s="65"/>
      <c r="CE243" s="65"/>
      <c r="CF243" s="65"/>
      <c r="CG243" s="65"/>
      <c r="CH243" s="65"/>
      <c r="CI243" s="65"/>
      <c r="CJ243" s="65"/>
      <c r="CK243" s="65"/>
      <c r="CL243" s="65"/>
      <c r="CM243" s="65"/>
      <c r="CN243" s="65"/>
      <c r="CO243" s="65"/>
      <c r="CP243" s="65"/>
      <c r="CQ243" s="65"/>
      <c r="CR243" s="65"/>
      <c r="CS243" s="65"/>
      <c r="CT243" s="65"/>
      <c r="CU243" s="65"/>
      <c r="CV243" s="65"/>
      <c r="CW243" s="65"/>
      <c r="CX243" s="65"/>
    </row>
    <row r="244" spans="1:102" s="6" customForma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  <c r="BD244" s="65"/>
      <c r="BE244" s="65"/>
      <c r="BF244" s="65"/>
      <c r="BG244" s="65"/>
      <c r="BH244" s="65"/>
      <c r="BI244" s="65"/>
      <c r="BJ244" s="65"/>
      <c r="BK244" s="65"/>
      <c r="BL244" s="65"/>
      <c r="BM244" s="65"/>
      <c r="BN244" s="65"/>
      <c r="BO244" s="65"/>
      <c r="BP244" s="65"/>
      <c r="BQ244" s="65"/>
      <c r="BR244" s="65"/>
      <c r="BS244" s="65"/>
      <c r="BT244" s="65"/>
      <c r="BU244" s="65"/>
      <c r="BV244" s="65"/>
      <c r="BW244" s="65"/>
      <c r="BX244" s="65"/>
      <c r="BY244" s="65"/>
      <c r="BZ244" s="65"/>
      <c r="CA244" s="65"/>
      <c r="CB244" s="65"/>
      <c r="CC244" s="65"/>
      <c r="CD244" s="65"/>
      <c r="CE244" s="65"/>
      <c r="CF244" s="65"/>
      <c r="CG244" s="65"/>
      <c r="CH244" s="65"/>
      <c r="CI244" s="65"/>
      <c r="CJ244" s="65"/>
      <c r="CK244" s="65"/>
      <c r="CL244" s="65"/>
      <c r="CM244" s="65"/>
      <c r="CN244" s="65"/>
      <c r="CO244" s="65"/>
      <c r="CP244" s="65"/>
      <c r="CQ244" s="65"/>
      <c r="CR244" s="65"/>
      <c r="CS244" s="65"/>
      <c r="CT244" s="65"/>
      <c r="CU244" s="65"/>
      <c r="CV244" s="65"/>
      <c r="CW244" s="65"/>
      <c r="CX244" s="65"/>
    </row>
    <row r="245" spans="1:102" s="6" customForma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  <c r="AW245" s="65"/>
      <c r="AX245" s="65"/>
      <c r="AY245" s="65"/>
      <c r="AZ245" s="65"/>
      <c r="BA245" s="65"/>
      <c r="BB245" s="65"/>
      <c r="BC245" s="65"/>
      <c r="BD245" s="65"/>
      <c r="BE245" s="65"/>
      <c r="BF245" s="65"/>
      <c r="BG245" s="65"/>
      <c r="BH245" s="65"/>
      <c r="BI245" s="65"/>
      <c r="BJ245" s="65"/>
      <c r="BK245" s="65"/>
      <c r="BL245" s="65"/>
      <c r="BM245" s="65"/>
      <c r="BN245" s="65"/>
      <c r="BO245" s="65"/>
      <c r="BP245" s="65"/>
      <c r="BQ245" s="65"/>
      <c r="BR245" s="65"/>
      <c r="BS245" s="65"/>
      <c r="BT245" s="65"/>
      <c r="BU245" s="65"/>
      <c r="BV245" s="65"/>
      <c r="BW245" s="65"/>
      <c r="BX245" s="65"/>
      <c r="BY245" s="65"/>
      <c r="BZ245" s="65"/>
      <c r="CA245" s="65"/>
      <c r="CB245" s="65"/>
      <c r="CC245" s="65"/>
      <c r="CD245" s="65"/>
      <c r="CE245" s="65"/>
      <c r="CF245" s="65"/>
      <c r="CG245" s="65"/>
      <c r="CH245" s="65"/>
      <c r="CI245" s="65"/>
      <c r="CJ245" s="65"/>
      <c r="CK245" s="65"/>
      <c r="CL245" s="65"/>
      <c r="CM245" s="65"/>
      <c r="CN245" s="65"/>
      <c r="CO245" s="65"/>
      <c r="CP245" s="65"/>
      <c r="CQ245" s="65"/>
      <c r="CR245" s="65"/>
      <c r="CS245" s="65"/>
      <c r="CT245" s="65"/>
      <c r="CU245" s="65"/>
      <c r="CV245" s="65"/>
      <c r="CW245" s="65"/>
      <c r="CX245" s="65"/>
    </row>
    <row r="246" spans="1:102" s="6" customForma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  <c r="BE246" s="65"/>
      <c r="BF246" s="65"/>
      <c r="BG246" s="65"/>
      <c r="BH246" s="65"/>
      <c r="BI246" s="65"/>
      <c r="BJ246" s="65"/>
      <c r="BK246" s="65"/>
      <c r="BL246" s="65"/>
      <c r="BM246" s="65"/>
      <c r="BN246" s="65"/>
      <c r="BO246" s="65"/>
      <c r="BP246" s="65"/>
      <c r="BQ246" s="65"/>
      <c r="BR246" s="65"/>
      <c r="BS246" s="65"/>
      <c r="BT246" s="65"/>
      <c r="BU246" s="65"/>
      <c r="BV246" s="65"/>
      <c r="BW246" s="65"/>
      <c r="BX246" s="65"/>
      <c r="BY246" s="65"/>
      <c r="BZ246" s="65"/>
      <c r="CA246" s="65"/>
      <c r="CB246" s="65"/>
      <c r="CC246" s="65"/>
      <c r="CD246" s="65"/>
      <c r="CE246" s="65"/>
      <c r="CF246" s="65"/>
      <c r="CG246" s="65"/>
      <c r="CH246" s="65"/>
      <c r="CI246" s="65"/>
      <c r="CJ246" s="65"/>
      <c r="CK246" s="65"/>
      <c r="CL246" s="65"/>
      <c r="CM246" s="65"/>
      <c r="CN246" s="65"/>
      <c r="CO246" s="65"/>
      <c r="CP246" s="65"/>
      <c r="CQ246" s="65"/>
      <c r="CR246" s="65"/>
      <c r="CS246" s="65"/>
      <c r="CT246" s="65"/>
      <c r="CU246" s="65"/>
      <c r="CV246" s="65"/>
      <c r="CW246" s="65"/>
      <c r="CX246" s="65"/>
    </row>
    <row r="247" spans="1:102" s="6" customForma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  <c r="BE247" s="65"/>
      <c r="BF247" s="65"/>
      <c r="BG247" s="65"/>
      <c r="BH247" s="65"/>
      <c r="BI247" s="65"/>
      <c r="BJ247" s="65"/>
      <c r="BK247" s="65"/>
      <c r="BL247" s="65"/>
      <c r="BM247" s="65"/>
      <c r="BN247" s="65"/>
      <c r="BO247" s="65"/>
      <c r="BP247" s="65"/>
      <c r="BQ247" s="65"/>
      <c r="BR247" s="65"/>
      <c r="BS247" s="65"/>
      <c r="BT247" s="65"/>
      <c r="BU247" s="65"/>
      <c r="BV247" s="65"/>
      <c r="BW247" s="65"/>
      <c r="BX247" s="65"/>
      <c r="BY247" s="65"/>
      <c r="BZ247" s="65"/>
      <c r="CA247" s="65"/>
      <c r="CB247" s="65"/>
      <c r="CC247" s="65"/>
      <c r="CD247" s="65"/>
      <c r="CE247" s="65"/>
      <c r="CF247" s="65"/>
      <c r="CG247" s="65"/>
      <c r="CH247" s="65"/>
      <c r="CI247" s="65"/>
      <c r="CJ247" s="65"/>
      <c r="CK247" s="65"/>
      <c r="CL247" s="65"/>
      <c r="CM247" s="65"/>
      <c r="CN247" s="65"/>
      <c r="CO247" s="65"/>
      <c r="CP247" s="65"/>
      <c r="CQ247" s="65"/>
      <c r="CR247" s="65"/>
      <c r="CS247" s="65"/>
      <c r="CT247" s="65"/>
      <c r="CU247" s="65"/>
      <c r="CV247" s="65"/>
      <c r="CW247" s="65"/>
      <c r="CX247" s="65"/>
    </row>
    <row r="248" spans="1:102" s="6" customForma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/>
      <c r="AX248" s="65"/>
      <c r="AY248" s="65"/>
      <c r="AZ248" s="65"/>
      <c r="BA248" s="65"/>
      <c r="BB248" s="65"/>
      <c r="BC248" s="65"/>
      <c r="BD248" s="65"/>
      <c r="BE248" s="65"/>
      <c r="BF248" s="65"/>
      <c r="BG248" s="65"/>
      <c r="BH248" s="65"/>
      <c r="BI248" s="65"/>
      <c r="BJ248" s="65"/>
      <c r="BK248" s="65"/>
      <c r="BL248" s="65"/>
      <c r="BM248" s="65"/>
      <c r="BN248" s="65"/>
      <c r="BO248" s="65"/>
      <c r="BP248" s="65"/>
      <c r="BQ248" s="65"/>
      <c r="BR248" s="65"/>
      <c r="BS248" s="65"/>
      <c r="BT248" s="65"/>
      <c r="BU248" s="65"/>
      <c r="BV248" s="65"/>
      <c r="BW248" s="65"/>
      <c r="BX248" s="65"/>
      <c r="BY248" s="65"/>
      <c r="BZ248" s="65"/>
      <c r="CA248" s="65"/>
      <c r="CB248" s="65"/>
      <c r="CC248" s="65"/>
      <c r="CD248" s="65"/>
      <c r="CE248" s="65"/>
      <c r="CF248" s="65"/>
      <c r="CG248" s="65"/>
      <c r="CH248" s="65"/>
      <c r="CI248" s="65"/>
      <c r="CJ248" s="65"/>
      <c r="CK248" s="65"/>
      <c r="CL248" s="65"/>
      <c r="CM248" s="65"/>
      <c r="CN248" s="65"/>
      <c r="CO248" s="65"/>
      <c r="CP248" s="65"/>
      <c r="CQ248" s="65"/>
      <c r="CR248" s="65"/>
      <c r="CS248" s="65"/>
      <c r="CT248" s="65"/>
      <c r="CU248" s="65"/>
      <c r="CV248" s="65"/>
      <c r="CW248" s="65"/>
      <c r="CX248" s="65"/>
    </row>
    <row r="249" spans="1:102" s="6" customForma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  <c r="AW249" s="65"/>
      <c r="AX249" s="65"/>
      <c r="AY249" s="65"/>
      <c r="AZ249" s="65"/>
      <c r="BA249" s="65"/>
      <c r="BB249" s="65"/>
      <c r="BC249" s="65"/>
      <c r="BD249" s="65"/>
      <c r="BE249" s="65"/>
      <c r="BF249" s="65"/>
      <c r="BG249" s="65"/>
      <c r="BH249" s="65"/>
      <c r="BI249" s="65"/>
      <c r="BJ249" s="65"/>
      <c r="BK249" s="65"/>
      <c r="BL249" s="65"/>
      <c r="BM249" s="65"/>
      <c r="BN249" s="65"/>
      <c r="BO249" s="65"/>
      <c r="BP249" s="65"/>
      <c r="BQ249" s="65"/>
      <c r="BR249" s="65"/>
      <c r="BS249" s="65"/>
      <c r="BT249" s="65"/>
      <c r="BU249" s="65"/>
      <c r="BV249" s="65"/>
      <c r="BW249" s="65"/>
      <c r="BX249" s="65"/>
      <c r="BY249" s="65"/>
      <c r="BZ249" s="65"/>
      <c r="CA249" s="65"/>
      <c r="CB249" s="65"/>
      <c r="CC249" s="65"/>
      <c r="CD249" s="65"/>
      <c r="CE249" s="65"/>
      <c r="CF249" s="65"/>
      <c r="CG249" s="65"/>
      <c r="CH249" s="65"/>
      <c r="CI249" s="65"/>
      <c r="CJ249" s="65"/>
      <c r="CK249" s="65"/>
      <c r="CL249" s="65"/>
      <c r="CM249" s="65"/>
      <c r="CN249" s="65"/>
      <c r="CO249" s="65"/>
      <c r="CP249" s="65"/>
      <c r="CQ249" s="65"/>
      <c r="CR249" s="65"/>
      <c r="CS249" s="65"/>
      <c r="CT249" s="65"/>
      <c r="CU249" s="65"/>
      <c r="CV249" s="65"/>
      <c r="CW249" s="65"/>
      <c r="CX249" s="65"/>
    </row>
    <row r="250" spans="1:102" s="6" customForma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/>
      <c r="AX250" s="65"/>
      <c r="AY250" s="65"/>
      <c r="AZ250" s="65"/>
      <c r="BA250" s="65"/>
      <c r="BB250" s="65"/>
      <c r="BC250" s="65"/>
      <c r="BD250" s="65"/>
      <c r="BE250" s="65"/>
      <c r="BF250" s="65"/>
      <c r="BG250" s="65"/>
      <c r="BH250" s="65"/>
      <c r="BI250" s="65"/>
      <c r="BJ250" s="65"/>
      <c r="BK250" s="65"/>
      <c r="BL250" s="65"/>
      <c r="BM250" s="65"/>
      <c r="BN250" s="65"/>
      <c r="BO250" s="65"/>
      <c r="BP250" s="65"/>
      <c r="BQ250" s="65"/>
      <c r="BR250" s="65"/>
      <c r="BS250" s="65"/>
      <c r="BT250" s="65"/>
      <c r="BU250" s="65"/>
      <c r="BV250" s="65"/>
      <c r="BW250" s="65"/>
      <c r="BX250" s="65"/>
      <c r="BY250" s="65"/>
      <c r="BZ250" s="65"/>
      <c r="CA250" s="65"/>
      <c r="CB250" s="65"/>
      <c r="CC250" s="65"/>
      <c r="CD250" s="65"/>
      <c r="CE250" s="65"/>
      <c r="CF250" s="65"/>
      <c r="CG250" s="65"/>
      <c r="CH250" s="65"/>
      <c r="CI250" s="65"/>
      <c r="CJ250" s="65"/>
      <c r="CK250" s="65"/>
      <c r="CL250" s="65"/>
      <c r="CM250" s="65"/>
      <c r="CN250" s="65"/>
      <c r="CO250" s="65"/>
      <c r="CP250" s="65"/>
      <c r="CQ250" s="65"/>
      <c r="CR250" s="65"/>
      <c r="CS250" s="65"/>
      <c r="CT250" s="65"/>
      <c r="CU250" s="65"/>
      <c r="CV250" s="65"/>
      <c r="CW250" s="65"/>
      <c r="CX250" s="65"/>
    </row>
    <row r="251" spans="1:102" s="6" customForma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  <c r="BE251" s="65"/>
      <c r="BF251" s="65"/>
      <c r="BG251" s="65"/>
      <c r="BH251" s="65"/>
      <c r="BI251" s="65"/>
      <c r="BJ251" s="65"/>
      <c r="BK251" s="65"/>
      <c r="BL251" s="65"/>
      <c r="BM251" s="65"/>
      <c r="BN251" s="65"/>
      <c r="BO251" s="65"/>
      <c r="BP251" s="65"/>
      <c r="BQ251" s="65"/>
      <c r="BR251" s="65"/>
      <c r="BS251" s="65"/>
      <c r="BT251" s="65"/>
      <c r="BU251" s="65"/>
      <c r="BV251" s="65"/>
      <c r="BW251" s="65"/>
      <c r="BX251" s="65"/>
      <c r="BY251" s="65"/>
      <c r="BZ251" s="65"/>
      <c r="CA251" s="65"/>
      <c r="CB251" s="65"/>
      <c r="CC251" s="65"/>
      <c r="CD251" s="65"/>
      <c r="CE251" s="65"/>
      <c r="CF251" s="65"/>
      <c r="CG251" s="65"/>
      <c r="CH251" s="65"/>
      <c r="CI251" s="65"/>
      <c r="CJ251" s="65"/>
      <c r="CK251" s="65"/>
      <c r="CL251" s="65"/>
      <c r="CM251" s="65"/>
      <c r="CN251" s="65"/>
      <c r="CO251" s="65"/>
      <c r="CP251" s="65"/>
      <c r="CQ251" s="65"/>
      <c r="CR251" s="65"/>
      <c r="CS251" s="65"/>
      <c r="CT251" s="65"/>
      <c r="CU251" s="65"/>
      <c r="CV251" s="65"/>
      <c r="CW251" s="65"/>
      <c r="CX251" s="65"/>
    </row>
    <row r="252" spans="1:102" s="6" customForma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  <c r="AW252" s="65"/>
      <c r="AX252" s="65"/>
      <c r="AY252" s="65"/>
      <c r="AZ252" s="65"/>
      <c r="BA252" s="65"/>
      <c r="BB252" s="65"/>
      <c r="BC252" s="65"/>
      <c r="BD252" s="65"/>
      <c r="BE252" s="65"/>
      <c r="BF252" s="65"/>
      <c r="BG252" s="65"/>
      <c r="BH252" s="65"/>
      <c r="BI252" s="65"/>
      <c r="BJ252" s="65"/>
      <c r="BK252" s="65"/>
      <c r="BL252" s="65"/>
      <c r="BM252" s="65"/>
      <c r="BN252" s="65"/>
      <c r="BO252" s="65"/>
      <c r="BP252" s="65"/>
      <c r="BQ252" s="65"/>
      <c r="BR252" s="65"/>
      <c r="BS252" s="65"/>
      <c r="BT252" s="65"/>
      <c r="BU252" s="65"/>
      <c r="BV252" s="65"/>
      <c r="BW252" s="65"/>
      <c r="BX252" s="65"/>
      <c r="BY252" s="65"/>
      <c r="BZ252" s="65"/>
      <c r="CA252" s="65"/>
      <c r="CB252" s="65"/>
      <c r="CC252" s="65"/>
      <c r="CD252" s="65"/>
      <c r="CE252" s="65"/>
      <c r="CF252" s="65"/>
      <c r="CG252" s="65"/>
      <c r="CH252" s="65"/>
      <c r="CI252" s="65"/>
      <c r="CJ252" s="65"/>
      <c r="CK252" s="65"/>
      <c r="CL252" s="65"/>
      <c r="CM252" s="65"/>
      <c r="CN252" s="65"/>
      <c r="CO252" s="65"/>
      <c r="CP252" s="65"/>
      <c r="CQ252" s="65"/>
      <c r="CR252" s="65"/>
      <c r="CS252" s="65"/>
      <c r="CT252" s="65"/>
      <c r="CU252" s="65"/>
      <c r="CV252" s="65"/>
      <c r="CW252" s="65"/>
      <c r="CX252" s="65"/>
    </row>
  </sheetData>
  <phoneticPr fontId="3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5657-71DA-4243-986F-994FF03129D1}">
  <dimension ref="A1:FI427"/>
  <sheetViews>
    <sheetView tabSelected="1" workbookViewId="0">
      <selection activeCell="K2" sqref="K2"/>
    </sheetView>
  </sheetViews>
  <sheetFormatPr defaultColWidth="2.54296875" defaultRowHeight="14.5"/>
  <cols>
    <col min="1" max="1" width="5.7265625" style="96" bestFit="1" customWidth="1"/>
    <col min="2" max="2" width="5.36328125" style="96" bestFit="1" customWidth="1"/>
    <col min="3" max="3" width="2.1796875" style="90" customWidth="1"/>
    <col min="4" max="4" width="3" style="58" bestFit="1" customWidth="1"/>
    <col min="5" max="5" width="55.54296875" style="59" bestFit="1" customWidth="1"/>
    <col min="6" max="34" width="6" style="58" bestFit="1" customWidth="1"/>
    <col min="35" max="90" width="2.54296875" style="71"/>
    <col min="91" max="16384" width="2.54296875" style="59"/>
  </cols>
  <sheetData>
    <row r="1" spans="1:165" s="69" customFormat="1" ht="18.5">
      <c r="A1" s="97" t="s">
        <v>107</v>
      </c>
      <c r="B1" s="95" t="s">
        <v>118</v>
      </c>
      <c r="C1" s="91"/>
      <c r="D1" s="87"/>
      <c r="E1" s="73" t="s">
        <v>128</v>
      </c>
      <c r="F1" s="74" t="s">
        <v>85</v>
      </c>
      <c r="G1" s="74" t="s">
        <v>110</v>
      </c>
      <c r="H1" s="74" t="s">
        <v>111</v>
      </c>
      <c r="I1" s="74" t="s">
        <v>112</v>
      </c>
      <c r="J1" s="74" t="s">
        <v>113</v>
      </c>
      <c r="K1" s="74" t="s">
        <v>114</v>
      </c>
      <c r="L1" s="74" t="s">
        <v>115</v>
      </c>
      <c r="M1" s="74" t="s">
        <v>116</v>
      </c>
      <c r="N1" s="74" t="s">
        <v>117</v>
      </c>
      <c r="O1" s="75">
        <v>10</v>
      </c>
      <c r="P1" s="75">
        <v>11</v>
      </c>
      <c r="Q1" s="75">
        <v>12</v>
      </c>
      <c r="R1" s="75">
        <v>13</v>
      </c>
      <c r="S1" s="75">
        <v>14</v>
      </c>
      <c r="T1" s="75">
        <v>15</v>
      </c>
      <c r="U1" s="75">
        <v>16</v>
      </c>
      <c r="V1" s="75">
        <v>17</v>
      </c>
      <c r="W1" s="75">
        <v>18</v>
      </c>
      <c r="X1" s="75">
        <v>19</v>
      </c>
      <c r="Y1" s="75">
        <v>20</v>
      </c>
      <c r="Z1" s="75">
        <v>21</v>
      </c>
      <c r="AA1" s="75">
        <v>22</v>
      </c>
      <c r="AB1" s="75">
        <v>23</v>
      </c>
      <c r="AC1" s="75">
        <v>24</v>
      </c>
      <c r="AD1" s="75">
        <v>25</v>
      </c>
      <c r="AE1" s="75">
        <v>26</v>
      </c>
      <c r="AF1" s="75">
        <v>27</v>
      </c>
      <c r="AG1" s="75">
        <v>28</v>
      </c>
      <c r="AH1" s="76">
        <v>29</v>
      </c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59"/>
      <c r="CN1" s="59"/>
      <c r="CO1" s="59"/>
      <c r="CP1" s="59"/>
      <c r="CQ1" s="59"/>
      <c r="CR1" s="59"/>
      <c r="CS1" s="59"/>
      <c r="CT1" s="59"/>
      <c r="CU1" s="59"/>
      <c r="CV1" s="59"/>
      <c r="CW1" s="59"/>
      <c r="CX1" s="59"/>
      <c r="CY1" s="59"/>
      <c r="CZ1" s="59"/>
      <c r="DA1" s="59"/>
      <c r="DB1" s="59"/>
      <c r="DC1" s="59"/>
      <c r="DD1" s="59"/>
      <c r="DE1" s="59"/>
      <c r="DF1" s="59"/>
      <c r="DG1" s="59"/>
      <c r="DH1" s="59"/>
      <c r="DI1" s="59"/>
      <c r="DJ1" s="59"/>
      <c r="DK1" s="59"/>
      <c r="DL1" s="59"/>
      <c r="DM1" s="59"/>
      <c r="DN1" s="59"/>
      <c r="DO1" s="59"/>
      <c r="DP1" s="59"/>
      <c r="DQ1" s="59"/>
      <c r="DR1" s="59"/>
      <c r="DS1" s="59"/>
      <c r="DT1" s="59"/>
      <c r="DU1" s="59"/>
      <c r="DV1" s="59"/>
      <c r="DW1" s="59"/>
      <c r="DX1" s="59"/>
      <c r="DY1" s="59"/>
      <c r="DZ1" s="59"/>
      <c r="EA1" s="59"/>
      <c r="EB1" s="59"/>
      <c r="EC1" s="59"/>
      <c r="ED1" s="59"/>
      <c r="EE1" s="59"/>
      <c r="EF1" s="59"/>
      <c r="EG1" s="59"/>
      <c r="EH1" s="59"/>
      <c r="EI1" s="59"/>
      <c r="EJ1" s="59"/>
      <c r="EK1" s="59"/>
      <c r="EL1" s="59"/>
      <c r="EM1" s="59"/>
      <c r="EN1" s="59"/>
      <c r="EO1" s="59"/>
      <c r="EP1" s="59"/>
      <c r="EQ1" s="59"/>
      <c r="ER1" s="59"/>
      <c r="ES1" s="59"/>
      <c r="ET1" s="59"/>
      <c r="EU1" s="59"/>
      <c r="EV1" s="59"/>
      <c r="EW1" s="59"/>
      <c r="EX1" s="59"/>
      <c r="EY1" s="59"/>
      <c r="EZ1" s="59"/>
      <c r="FA1" s="59"/>
      <c r="FB1" s="59"/>
      <c r="FC1" s="59"/>
      <c r="FD1" s="59"/>
      <c r="FE1" s="59"/>
      <c r="FF1" s="59"/>
      <c r="FG1" s="59"/>
      <c r="FH1" s="59"/>
      <c r="FI1" s="59"/>
    </row>
    <row r="2" spans="1:165" s="69" customFormat="1">
      <c r="A2" s="100"/>
      <c r="B2" s="107"/>
      <c r="C2" s="92"/>
      <c r="D2" s="88"/>
      <c r="E2" s="77" t="s">
        <v>119</v>
      </c>
      <c r="F2" s="78">
        <v>10</v>
      </c>
      <c r="G2" s="78">
        <v>46</v>
      </c>
      <c r="H2" s="78">
        <v>230</v>
      </c>
      <c r="I2" s="78">
        <v>146</v>
      </c>
      <c r="J2" s="78">
        <v>20</v>
      </c>
      <c r="K2" s="78">
        <v>38</v>
      </c>
      <c r="L2" s="78">
        <v>92</v>
      </c>
      <c r="M2" s="78">
        <v>10</v>
      </c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9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59"/>
      <c r="EI2" s="59"/>
      <c r="EJ2" s="59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59"/>
      <c r="EX2" s="59"/>
      <c r="EY2" s="59"/>
      <c r="EZ2" s="59"/>
      <c r="FA2" s="59"/>
      <c r="FB2" s="59"/>
      <c r="FC2" s="59"/>
      <c r="FD2" s="59"/>
      <c r="FE2" s="59"/>
      <c r="FF2" s="59"/>
      <c r="FG2" s="59"/>
      <c r="FH2" s="59"/>
      <c r="FI2" s="59"/>
    </row>
    <row r="3" spans="1:165" s="69" customFormat="1">
      <c r="A3" s="100"/>
      <c r="B3" s="107"/>
      <c r="C3" s="92"/>
      <c r="D3" s="88"/>
      <c r="E3" s="77" t="s">
        <v>120</v>
      </c>
      <c r="F3" s="78">
        <v>-0.5</v>
      </c>
      <c r="G3" s="78">
        <v>0</v>
      </c>
      <c r="H3" s="78">
        <v>0</v>
      </c>
      <c r="I3" s="78">
        <v>0</v>
      </c>
      <c r="J3" s="78">
        <v>13</v>
      </c>
      <c r="K3" s="78">
        <v>0</v>
      </c>
      <c r="L3" s="78">
        <v>-13</v>
      </c>
      <c r="M3" s="78">
        <v>0</v>
      </c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9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59"/>
      <c r="EV3" s="59"/>
      <c r="EW3" s="59"/>
      <c r="EX3" s="59"/>
      <c r="EY3" s="59"/>
      <c r="EZ3" s="59"/>
      <c r="FA3" s="59"/>
      <c r="FB3" s="59"/>
      <c r="FC3" s="59"/>
      <c r="FD3" s="59"/>
      <c r="FE3" s="59"/>
      <c r="FF3" s="59"/>
      <c r="FG3" s="59"/>
      <c r="FH3" s="59"/>
      <c r="FI3" s="59"/>
    </row>
    <row r="4" spans="1:165" s="69" customFormat="1">
      <c r="A4" s="100"/>
      <c r="B4" s="108"/>
      <c r="C4" s="93"/>
      <c r="D4" s="88"/>
      <c r="E4" s="77" t="s">
        <v>121</v>
      </c>
      <c r="F4" s="80">
        <v>2</v>
      </c>
      <c r="G4" s="80">
        <v>1</v>
      </c>
      <c r="H4" s="80">
        <v>1</v>
      </c>
      <c r="I4" s="80">
        <v>1</v>
      </c>
      <c r="J4" s="80">
        <v>2</v>
      </c>
      <c r="K4" s="80">
        <v>2</v>
      </c>
      <c r="L4" s="80">
        <v>2</v>
      </c>
      <c r="M4" s="80">
        <v>1</v>
      </c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59"/>
      <c r="DQ4" s="59"/>
      <c r="DR4" s="59"/>
      <c r="DS4" s="59"/>
      <c r="DT4" s="59"/>
      <c r="DU4" s="59"/>
      <c r="DV4" s="59"/>
      <c r="DW4" s="59"/>
      <c r="DX4" s="59"/>
      <c r="DY4" s="59"/>
      <c r="DZ4" s="59"/>
      <c r="EA4" s="59"/>
      <c r="EB4" s="59"/>
      <c r="EC4" s="59"/>
      <c r="ED4" s="59"/>
      <c r="EE4" s="59"/>
      <c r="EF4" s="59"/>
      <c r="EG4" s="59"/>
      <c r="EH4" s="59"/>
      <c r="EI4" s="59"/>
      <c r="EJ4" s="59"/>
      <c r="EK4" s="59"/>
      <c r="EL4" s="59"/>
      <c r="EM4" s="59"/>
      <c r="EN4" s="59"/>
      <c r="EO4" s="59"/>
      <c r="EP4" s="59"/>
      <c r="EQ4" s="59"/>
      <c r="ER4" s="59"/>
      <c r="ES4" s="59"/>
      <c r="ET4" s="59"/>
      <c r="EU4" s="59"/>
      <c r="EV4" s="59"/>
      <c r="EW4" s="59"/>
      <c r="EX4" s="59"/>
      <c r="EY4" s="59"/>
      <c r="EZ4" s="59"/>
      <c r="FA4" s="59"/>
      <c r="FB4" s="59"/>
      <c r="FC4" s="59"/>
      <c r="FD4" s="59"/>
      <c r="FE4" s="59"/>
      <c r="FF4" s="59"/>
      <c r="FG4" s="59"/>
      <c r="FH4" s="59"/>
      <c r="FI4" s="59"/>
    </row>
    <row r="5" spans="1:165" s="69" customFormat="1">
      <c r="A5" s="98"/>
      <c r="B5" s="108"/>
      <c r="C5" s="93"/>
      <c r="D5" s="89"/>
      <c r="E5" s="82" t="s">
        <v>127</v>
      </c>
      <c r="F5" s="83">
        <v>54</v>
      </c>
      <c r="G5" s="83">
        <v>52</v>
      </c>
      <c r="H5" s="83">
        <v>54</v>
      </c>
      <c r="I5" s="83">
        <v>52</v>
      </c>
      <c r="J5" s="83">
        <v>55</v>
      </c>
      <c r="K5" s="83">
        <v>52</v>
      </c>
      <c r="L5" s="83">
        <v>53</v>
      </c>
      <c r="M5" s="83">
        <v>52</v>
      </c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4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59"/>
      <c r="DH5" s="59"/>
      <c r="DI5" s="59"/>
      <c r="DJ5" s="59"/>
      <c r="DK5" s="59"/>
      <c r="DL5" s="59"/>
      <c r="DM5" s="59"/>
      <c r="DN5" s="59"/>
      <c r="DO5" s="59"/>
      <c r="DP5" s="59"/>
      <c r="DQ5" s="59"/>
      <c r="DR5" s="59"/>
      <c r="DS5" s="59"/>
      <c r="DT5" s="59"/>
      <c r="DU5" s="59"/>
      <c r="DV5" s="59"/>
      <c r="DW5" s="59"/>
      <c r="DX5" s="59"/>
      <c r="DY5" s="59"/>
      <c r="DZ5" s="59"/>
      <c r="EA5" s="59"/>
      <c r="EB5" s="59"/>
      <c r="EC5" s="59"/>
      <c r="ED5" s="59"/>
      <c r="EE5" s="59"/>
      <c r="EF5" s="59"/>
      <c r="EG5" s="59"/>
      <c r="EH5" s="59"/>
      <c r="EI5" s="59"/>
      <c r="EJ5" s="59"/>
      <c r="EK5" s="59"/>
      <c r="EL5" s="59"/>
      <c r="EM5" s="59"/>
      <c r="EN5" s="59"/>
      <c r="EO5" s="59"/>
      <c r="EP5" s="59"/>
      <c r="EQ5" s="59"/>
      <c r="ER5" s="59"/>
      <c r="ES5" s="59"/>
      <c r="ET5" s="59"/>
      <c r="EU5" s="59"/>
      <c r="EV5" s="59"/>
      <c r="EW5" s="59"/>
      <c r="EX5" s="59"/>
      <c r="EY5" s="59"/>
      <c r="EZ5" s="59"/>
      <c r="FA5" s="59"/>
      <c r="FB5" s="59"/>
      <c r="FC5" s="59"/>
      <c r="FD5" s="59"/>
      <c r="FE5" s="59"/>
      <c r="FF5" s="59"/>
      <c r="FG5" s="59"/>
      <c r="FH5" s="59"/>
      <c r="FI5" s="59"/>
    </row>
    <row r="6" spans="1:165" s="69" customFormat="1" ht="18.5">
      <c r="A6" s="98"/>
      <c r="B6" s="108"/>
      <c r="C6" s="93"/>
      <c r="D6" s="87"/>
      <c r="E6" s="73" t="s">
        <v>136</v>
      </c>
      <c r="F6" s="74"/>
      <c r="G6" s="74"/>
      <c r="H6" s="74"/>
      <c r="I6" s="74"/>
      <c r="J6" s="74"/>
      <c r="K6" s="74"/>
      <c r="L6" s="74"/>
      <c r="M6" s="74"/>
      <c r="N6" s="74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6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59"/>
      <c r="EI6" s="59"/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59"/>
      <c r="EZ6" s="59"/>
      <c r="FA6" s="59"/>
      <c r="FB6" s="59"/>
      <c r="FC6" s="59"/>
      <c r="FD6" s="59"/>
      <c r="FE6" s="59"/>
      <c r="FF6" s="59"/>
      <c r="FG6" s="59"/>
      <c r="FH6" s="59"/>
      <c r="FI6" s="59"/>
    </row>
    <row r="7" spans="1:165" s="69" customFormat="1">
      <c r="A7" s="98"/>
      <c r="B7" s="108"/>
      <c r="C7" s="93"/>
      <c r="D7" s="88"/>
      <c r="E7" s="77" t="s">
        <v>137</v>
      </c>
      <c r="F7" s="80">
        <v>1</v>
      </c>
      <c r="G7" s="80"/>
      <c r="H7" s="80">
        <v>2</v>
      </c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59"/>
      <c r="DJ7" s="59"/>
      <c r="DK7" s="59"/>
      <c r="DL7" s="59"/>
      <c r="DM7" s="59"/>
      <c r="DN7" s="59"/>
      <c r="DO7" s="59"/>
      <c r="DP7" s="59"/>
      <c r="DQ7" s="59"/>
      <c r="DR7" s="59"/>
      <c r="DS7" s="59"/>
      <c r="DT7" s="59"/>
      <c r="DU7" s="59"/>
      <c r="DV7" s="59"/>
      <c r="DW7" s="59"/>
      <c r="DX7" s="59"/>
      <c r="DY7" s="59"/>
      <c r="DZ7" s="59"/>
      <c r="EA7" s="59"/>
      <c r="EB7" s="59"/>
      <c r="EC7" s="59"/>
      <c r="ED7" s="59"/>
      <c r="EE7" s="59"/>
      <c r="EF7" s="59"/>
      <c r="EG7" s="59"/>
      <c r="EH7" s="59"/>
      <c r="EI7" s="59"/>
      <c r="EJ7" s="59"/>
      <c r="EK7" s="59"/>
      <c r="EL7" s="59"/>
      <c r="EM7" s="59"/>
      <c r="EN7" s="59"/>
      <c r="EO7" s="59"/>
      <c r="EP7" s="59"/>
      <c r="EQ7" s="59"/>
      <c r="ER7" s="59"/>
      <c r="ES7" s="59"/>
      <c r="ET7" s="59"/>
      <c r="EU7" s="59"/>
      <c r="EV7" s="59"/>
      <c r="EW7" s="59"/>
      <c r="EX7" s="59"/>
      <c r="EY7" s="59"/>
      <c r="EZ7" s="59"/>
      <c r="FA7" s="59"/>
      <c r="FB7" s="59"/>
      <c r="FC7" s="59"/>
      <c r="FD7" s="59"/>
      <c r="FE7" s="59"/>
      <c r="FF7" s="59"/>
      <c r="FG7" s="59"/>
      <c r="FH7" s="59"/>
      <c r="FI7" s="59"/>
    </row>
    <row r="8" spans="1:165" s="69" customFormat="1">
      <c r="A8" s="98" t="s">
        <v>39</v>
      </c>
      <c r="B8" s="107">
        <v>13</v>
      </c>
      <c r="C8" s="92"/>
      <c r="D8" s="88"/>
      <c r="E8" s="77" t="s">
        <v>146</v>
      </c>
      <c r="F8" s="80"/>
      <c r="G8" s="80"/>
      <c r="H8" s="80">
        <v>18</v>
      </c>
      <c r="I8" s="80"/>
      <c r="J8" s="80">
        <v>16</v>
      </c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59"/>
      <c r="CN8" s="59"/>
      <c r="CO8" s="59"/>
      <c r="CP8" s="59"/>
      <c r="CQ8" s="59"/>
      <c r="CR8" s="59"/>
      <c r="CS8" s="59"/>
      <c r="CT8" s="59"/>
      <c r="CU8" s="59"/>
      <c r="CV8" s="59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59"/>
      <c r="DJ8" s="59"/>
      <c r="DK8" s="59"/>
      <c r="DL8" s="59"/>
      <c r="DM8" s="59"/>
      <c r="DN8" s="59"/>
      <c r="DO8" s="59"/>
      <c r="DP8" s="59"/>
      <c r="DQ8" s="59"/>
      <c r="DR8" s="59"/>
      <c r="DS8" s="59"/>
      <c r="DT8" s="59"/>
      <c r="DU8" s="59"/>
      <c r="DV8" s="59"/>
      <c r="DW8" s="59"/>
      <c r="DX8" s="59"/>
      <c r="DY8" s="59"/>
      <c r="DZ8" s="59"/>
      <c r="EA8" s="59"/>
      <c r="EB8" s="59"/>
      <c r="EC8" s="59"/>
      <c r="ED8" s="59"/>
      <c r="EE8" s="59"/>
      <c r="EF8" s="59"/>
      <c r="EG8" s="59"/>
      <c r="EH8" s="59"/>
      <c r="EI8" s="59"/>
      <c r="EJ8" s="59"/>
      <c r="EK8" s="59"/>
      <c r="EL8" s="59"/>
      <c r="EM8" s="59"/>
      <c r="EN8" s="59"/>
      <c r="EO8" s="59"/>
      <c r="EP8" s="59"/>
      <c r="EQ8" s="59"/>
      <c r="ER8" s="59"/>
      <c r="ES8" s="59"/>
      <c r="ET8" s="59"/>
      <c r="EU8" s="59"/>
      <c r="EV8" s="59"/>
      <c r="EW8" s="59"/>
      <c r="EX8" s="59"/>
      <c r="EY8" s="59"/>
      <c r="EZ8" s="59"/>
      <c r="FA8" s="59"/>
      <c r="FB8" s="59"/>
      <c r="FC8" s="59"/>
      <c r="FD8" s="59"/>
      <c r="FE8" s="59"/>
      <c r="FF8" s="59"/>
      <c r="FG8" s="59"/>
      <c r="FH8" s="59"/>
      <c r="FI8" s="59"/>
    </row>
    <row r="9" spans="1:165" s="69" customFormat="1">
      <c r="A9" s="99" t="s">
        <v>38</v>
      </c>
      <c r="B9" s="109">
        <v>0.5</v>
      </c>
      <c r="C9" s="110"/>
      <c r="D9" s="58">
        <v>1</v>
      </c>
      <c r="E9" s="59" t="s">
        <v>126</v>
      </c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85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59"/>
      <c r="DN9" s="59"/>
      <c r="DO9" s="59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59"/>
      <c r="FF9" s="59"/>
      <c r="FG9" s="59"/>
      <c r="FH9" s="59"/>
      <c r="FI9" s="59"/>
    </row>
    <row r="10" spans="1:165">
      <c r="A10" s="111"/>
      <c r="B10" s="112"/>
      <c r="C10" s="113"/>
      <c r="D10" s="58">
        <v>2</v>
      </c>
      <c r="E10" s="59" t="s">
        <v>123</v>
      </c>
      <c r="AH10" s="85"/>
    </row>
    <row r="11" spans="1:165" s="61" customFormat="1">
      <c r="A11" s="101"/>
      <c r="B11" s="114"/>
      <c r="C11" s="102"/>
      <c r="D11" s="58">
        <v>3</v>
      </c>
      <c r="E11" s="59" t="s">
        <v>4</v>
      </c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85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72"/>
    </row>
    <row r="12" spans="1:165" s="61" customFormat="1">
      <c r="A12" s="101"/>
      <c r="B12" s="114"/>
      <c r="C12" s="102"/>
      <c r="D12" s="58">
        <v>4</v>
      </c>
      <c r="E12" s="59" t="s">
        <v>124</v>
      </c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85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72"/>
    </row>
    <row r="13" spans="1:165" s="58" customFormat="1">
      <c r="A13" s="101"/>
      <c r="B13" s="114"/>
      <c r="C13" s="102"/>
      <c r="D13" s="58">
        <v>5</v>
      </c>
      <c r="E13" s="59" t="s">
        <v>125</v>
      </c>
      <c r="AH13" s="85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60"/>
      <c r="CG13" s="60"/>
      <c r="CH13" s="60"/>
      <c r="CI13" s="60"/>
      <c r="CJ13" s="60"/>
      <c r="CK13" s="60"/>
      <c r="CL13" s="60"/>
    </row>
    <row r="14" spans="1:165">
      <c r="A14" s="101"/>
      <c r="B14" s="114"/>
      <c r="C14" s="102"/>
      <c r="D14" s="58">
        <v>6</v>
      </c>
      <c r="E14" s="59" t="s">
        <v>122</v>
      </c>
      <c r="AH14" s="85"/>
    </row>
    <row r="15" spans="1:165">
      <c r="A15" s="101"/>
      <c r="B15" s="114"/>
      <c r="C15" s="102"/>
      <c r="D15" s="58">
        <v>7</v>
      </c>
      <c r="E15" s="59" t="s">
        <v>135</v>
      </c>
      <c r="AH15" s="85"/>
    </row>
    <row r="16" spans="1:165">
      <c r="A16" s="101"/>
      <c r="B16" s="114"/>
      <c r="C16" s="102"/>
      <c r="D16" s="58">
        <v>8</v>
      </c>
      <c r="E16" s="59" t="s">
        <v>129</v>
      </c>
      <c r="AH16" s="85"/>
    </row>
    <row r="17" spans="1:34">
      <c r="A17" s="101"/>
      <c r="B17" s="114"/>
      <c r="C17" s="102"/>
      <c r="D17" s="58">
        <v>9</v>
      </c>
      <c r="E17" s="59" t="s">
        <v>130</v>
      </c>
      <c r="AH17" s="85"/>
    </row>
    <row r="18" spans="1:34">
      <c r="A18" s="101"/>
      <c r="B18" s="114"/>
      <c r="C18" s="102"/>
      <c r="D18" s="58">
        <v>10</v>
      </c>
      <c r="E18" s="59" t="s">
        <v>131</v>
      </c>
      <c r="AH18" s="85"/>
    </row>
    <row r="19" spans="1:34">
      <c r="A19" s="101"/>
      <c r="B19" s="114"/>
      <c r="C19" s="102"/>
      <c r="D19" s="58">
        <v>11</v>
      </c>
      <c r="E19" s="59" t="s">
        <v>132</v>
      </c>
      <c r="AH19" s="85"/>
    </row>
    <row r="20" spans="1:34">
      <c r="A20" s="101"/>
      <c r="B20" s="114"/>
      <c r="C20" s="102"/>
      <c r="D20" s="58">
        <v>12</v>
      </c>
      <c r="E20" s="59" t="s">
        <v>133</v>
      </c>
      <c r="AH20" s="85"/>
    </row>
    <row r="21" spans="1:34">
      <c r="A21" s="101"/>
      <c r="B21" s="114"/>
      <c r="C21" s="102"/>
      <c r="D21" s="58">
        <v>13</v>
      </c>
      <c r="E21" s="59" t="s">
        <v>134</v>
      </c>
      <c r="AH21" s="85"/>
    </row>
    <row r="22" spans="1:34">
      <c r="A22" s="101"/>
      <c r="B22" s="114"/>
      <c r="C22" s="102"/>
      <c r="D22" s="58">
        <v>14</v>
      </c>
      <c r="E22" s="59" t="s">
        <v>138</v>
      </c>
      <c r="AH22" s="85"/>
    </row>
    <row r="23" spans="1:34">
      <c r="A23" s="101"/>
      <c r="B23" s="114"/>
      <c r="C23" s="102"/>
      <c r="D23" s="58">
        <v>15</v>
      </c>
      <c r="E23" s="59" t="s">
        <v>139</v>
      </c>
      <c r="AH23" s="85"/>
    </row>
    <row r="24" spans="1:34">
      <c r="A24" s="101"/>
      <c r="B24" s="114"/>
      <c r="C24" s="102"/>
      <c r="D24" s="58">
        <v>16</v>
      </c>
      <c r="E24" s="59" t="s">
        <v>140</v>
      </c>
      <c r="AH24" s="85"/>
    </row>
    <row r="25" spans="1:34">
      <c r="A25" s="101"/>
      <c r="B25" s="114"/>
      <c r="C25" s="102"/>
      <c r="D25" s="58">
        <v>17</v>
      </c>
      <c r="E25" s="59" t="s">
        <v>141</v>
      </c>
      <c r="AH25" s="85"/>
    </row>
    <row r="26" spans="1:34">
      <c r="A26" s="101"/>
      <c r="B26" s="114"/>
      <c r="C26" s="102"/>
      <c r="D26" s="58">
        <v>18</v>
      </c>
      <c r="E26" s="59" t="s">
        <v>108</v>
      </c>
      <c r="AH26" s="85"/>
    </row>
    <row r="27" spans="1:34">
      <c r="A27" s="101"/>
      <c r="B27" s="114"/>
      <c r="C27" s="102"/>
      <c r="D27" s="58">
        <v>19</v>
      </c>
      <c r="E27" s="59" t="s">
        <v>142</v>
      </c>
      <c r="AH27" s="85"/>
    </row>
    <row r="28" spans="1:34">
      <c r="A28" s="101"/>
      <c r="B28" s="114"/>
      <c r="C28" s="102"/>
      <c r="D28" s="58">
        <v>20</v>
      </c>
      <c r="E28" s="59" t="s">
        <v>143</v>
      </c>
      <c r="AH28" s="85"/>
    </row>
    <row r="29" spans="1:34">
      <c r="A29" s="103" t="s">
        <v>149</v>
      </c>
      <c r="B29" s="115" t="s">
        <v>118</v>
      </c>
      <c r="C29" s="102"/>
      <c r="D29" s="58">
        <v>21</v>
      </c>
      <c r="E29" s="59" t="s">
        <v>144</v>
      </c>
      <c r="AH29" s="85"/>
    </row>
    <row r="30" spans="1:34">
      <c r="A30" s="103" t="s">
        <v>148</v>
      </c>
      <c r="B30" s="116">
        <v>75</v>
      </c>
      <c r="C30" s="102"/>
      <c r="D30" s="58">
        <v>22</v>
      </c>
      <c r="E30" s="59" t="s">
        <v>109</v>
      </c>
      <c r="AH30" s="85"/>
    </row>
    <row r="31" spans="1:34">
      <c r="A31" s="103" t="s">
        <v>97</v>
      </c>
      <c r="B31" s="116">
        <v>4</v>
      </c>
      <c r="C31" s="102"/>
      <c r="D31" s="62">
        <v>23</v>
      </c>
      <c r="E31" s="63" t="s">
        <v>145</v>
      </c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86"/>
    </row>
    <row r="32" spans="1:34" ht="18.5">
      <c r="A32" s="101"/>
      <c r="B32" s="117"/>
      <c r="C32" s="102"/>
      <c r="D32" s="87"/>
      <c r="E32" s="73" t="s">
        <v>147</v>
      </c>
      <c r="F32" s="74"/>
      <c r="G32" s="74"/>
      <c r="H32" s="74"/>
      <c r="I32" s="74"/>
      <c r="J32" s="74"/>
      <c r="K32" s="74"/>
      <c r="L32" s="74"/>
      <c r="M32" s="74"/>
      <c r="N32" s="74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6"/>
    </row>
    <row r="33" spans="1:34">
      <c r="A33" s="104"/>
      <c r="B33" s="105"/>
      <c r="C33" s="106"/>
      <c r="D33" s="89"/>
      <c r="E33" s="82" t="s">
        <v>127</v>
      </c>
      <c r="F33" s="83">
        <v>53</v>
      </c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4"/>
    </row>
    <row r="34" spans="1:34">
      <c r="D34" s="60"/>
      <c r="E34" s="71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</row>
    <row r="35" spans="1:34">
      <c r="D35" s="60"/>
      <c r="E35" s="71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</row>
    <row r="36" spans="1:34">
      <c r="D36" s="60"/>
      <c r="E36" s="71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</row>
    <row r="37" spans="1:34">
      <c r="D37" s="60"/>
      <c r="E37" s="71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</row>
    <row r="38" spans="1:34">
      <c r="D38" s="60"/>
      <c r="E38" s="71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</row>
    <row r="39" spans="1:34">
      <c r="D39" s="60"/>
      <c r="E39" s="71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</row>
    <row r="40" spans="1:34">
      <c r="D40" s="60"/>
      <c r="E40" s="71"/>
      <c r="F40" s="60"/>
      <c r="G40" s="60"/>
      <c r="H40" s="60"/>
      <c r="I40" s="60"/>
      <c r="J40" s="60"/>
      <c r="K40" s="60"/>
      <c r="L40" s="60">
        <v>2.5</v>
      </c>
      <c r="M40" s="60">
        <v>2</v>
      </c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</row>
    <row r="41" spans="1:34">
      <c r="D41" s="60"/>
      <c r="E41" s="71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</row>
    <row r="42" spans="1:34">
      <c r="D42" s="60"/>
      <c r="E42" s="71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</row>
    <row r="43" spans="1:34">
      <c r="D43" s="60"/>
      <c r="E43" s="71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</row>
    <row r="44" spans="1:34">
      <c r="D44" s="60"/>
      <c r="E44" s="71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</row>
    <row r="45" spans="1:34">
      <c r="D45" s="60"/>
      <c r="E45" s="71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</row>
    <row r="46" spans="1:34">
      <c r="D46" s="60"/>
      <c r="E46" s="71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</row>
    <row r="47" spans="1:34">
      <c r="D47" s="60"/>
      <c r="E47" s="71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</row>
    <row r="48" spans="1:34">
      <c r="D48" s="60"/>
      <c r="E48" s="71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</row>
    <row r="49" spans="1:165" s="70" customFormat="1">
      <c r="A49" s="96"/>
      <c r="B49" s="96"/>
      <c r="C49" s="90"/>
      <c r="D49" s="60"/>
      <c r="E49" s="71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  <c r="CE49" s="71"/>
      <c r="CF49" s="71"/>
      <c r="CG49" s="71"/>
      <c r="CH49" s="71"/>
      <c r="CI49" s="71"/>
      <c r="CJ49" s="71"/>
      <c r="CK49" s="71"/>
      <c r="CL49" s="71"/>
      <c r="CM49" s="59"/>
      <c r="CN49" s="59"/>
      <c r="CO49" s="59"/>
      <c r="CP49" s="59"/>
      <c r="CQ49" s="59"/>
      <c r="CR49" s="59"/>
      <c r="CS49" s="59"/>
      <c r="CT49" s="59"/>
      <c r="CU49" s="59"/>
      <c r="CV49" s="59"/>
      <c r="CW49" s="59"/>
      <c r="CX49" s="59"/>
      <c r="CY49" s="59"/>
      <c r="CZ49" s="59"/>
      <c r="DA49" s="59"/>
      <c r="DB49" s="59"/>
      <c r="DC49" s="59"/>
      <c r="DD49" s="59"/>
      <c r="DE49" s="59"/>
      <c r="DF49" s="59"/>
      <c r="DG49" s="59"/>
      <c r="DH49" s="59"/>
      <c r="DI49" s="59"/>
      <c r="DJ49" s="59"/>
      <c r="DK49" s="59"/>
      <c r="DL49" s="59"/>
      <c r="DM49" s="59"/>
      <c r="DN49" s="59"/>
      <c r="DO49" s="59"/>
      <c r="DP49" s="59"/>
      <c r="DQ49" s="59"/>
      <c r="DR49" s="59"/>
      <c r="DS49" s="59"/>
      <c r="DT49" s="59"/>
      <c r="DU49" s="59"/>
      <c r="DV49" s="59"/>
      <c r="DW49" s="59"/>
      <c r="DX49" s="59"/>
      <c r="DY49" s="59"/>
      <c r="DZ49" s="59"/>
      <c r="EA49" s="59"/>
      <c r="EB49" s="59"/>
      <c r="EC49" s="59"/>
      <c r="ED49" s="59"/>
      <c r="EE49" s="59"/>
      <c r="EF49" s="59"/>
      <c r="EG49" s="59"/>
      <c r="EH49" s="59"/>
      <c r="EI49" s="59"/>
      <c r="EJ49" s="59"/>
      <c r="EK49" s="59"/>
      <c r="EL49" s="59"/>
      <c r="EM49" s="59"/>
      <c r="EN49" s="59"/>
      <c r="EO49" s="59"/>
      <c r="EP49" s="59"/>
      <c r="EQ49" s="59"/>
      <c r="ER49" s="59"/>
      <c r="ES49" s="59"/>
      <c r="ET49" s="59"/>
      <c r="EU49" s="59"/>
      <c r="EV49" s="59"/>
      <c r="EW49" s="59"/>
      <c r="EX49" s="59"/>
      <c r="EY49" s="59"/>
      <c r="EZ49" s="59"/>
      <c r="FA49" s="59"/>
      <c r="FB49" s="59"/>
      <c r="FC49" s="59"/>
      <c r="FD49" s="59"/>
      <c r="FE49" s="59"/>
      <c r="FF49" s="59"/>
      <c r="FG49" s="59"/>
      <c r="FH49" s="59"/>
      <c r="FI49" s="59"/>
    </row>
    <row r="50" spans="1:165">
      <c r="D50" s="60"/>
      <c r="E50" s="71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</row>
    <row r="51" spans="1:165">
      <c r="D51" s="60"/>
      <c r="E51" s="71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</row>
    <row r="52" spans="1:165">
      <c r="D52" s="60"/>
      <c r="E52" s="71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</row>
    <row r="53" spans="1:165">
      <c r="D53" s="60"/>
      <c r="E53" s="71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</row>
    <row r="54" spans="1:165">
      <c r="D54" s="60"/>
      <c r="E54" s="71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</row>
    <row r="55" spans="1:165">
      <c r="D55" s="60"/>
      <c r="E55" s="71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</row>
    <row r="56" spans="1:165">
      <c r="D56" s="60"/>
      <c r="E56" s="71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</row>
    <row r="57" spans="1:165">
      <c r="D57" s="60"/>
      <c r="E57" s="71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</row>
    <row r="58" spans="1:165">
      <c r="D58" s="60"/>
      <c r="E58" s="71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</row>
    <row r="59" spans="1:165">
      <c r="D59" s="60"/>
      <c r="E59" s="71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</row>
    <row r="60" spans="1:165">
      <c r="D60" s="60"/>
      <c r="E60" s="71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</row>
    <row r="61" spans="1:165">
      <c r="D61" s="60"/>
      <c r="E61" s="71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</row>
    <row r="62" spans="1:165">
      <c r="D62" s="60"/>
      <c r="E62" s="71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</row>
    <row r="63" spans="1:165">
      <c r="D63" s="60"/>
      <c r="E63" s="71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</row>
    <row r="64" spans="1:165">
      <c r="D64" s="60"/>
      <c r="E64" s="71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</row>
    <row r="65" spans="4:34">
      <c r="D65" s="60"/>
      <c r="E65" s="71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</row>
    <row r="66" spans="4:34">
      <c r="D66" s="60"/>
      <c r="E66" s="71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</row>
    <row r="67" spans="4:34">
      <c r="D67" s="60"/>
      <c r="E67" s="71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</row>
    <row r="68" spans="4:34">
      <c r="D68" s="60"/>
      <c r="E68" s="71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</row>
    <row r="69" spans="4:34">
      <c r="D69" s="60"/>
      <c r="E69" s="71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</row>
    <row r="70" spans="4:34">
      <c r="D70" s="60"/>
      <c r="E70" s="71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</row>
    <row r="71" spans="4:34">
      <c r="D71" s="60"/>
      <c r="E71" s="71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</row>
    <row r="72" spans="4:34">
      <c r="D72" s="60"/>
      <c r="E72" s="71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</row>
    <row r="73" spans="4:34">
      <c r="D73" s="60"/>
      <c r="E73" s="71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</row>
    <row r="74" spans="4:34">
      <c r="D74" s="60"/>
      <c r="E74" s="71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</row>
    <row r="75" spans="4:34">
      <c r="D75" s="60"/>
      <c r="E75" s="71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</row>
    <row r="76" spans="4:34">
      <c r="D76" s="60"/>
      <c r="E76" s="71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</row>
    <row r="77" spans="4:34">
      <c r="D77" s="60"/>
      <c r="E77" s="71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</row>
    <row r="78" spans="4:34">
      <c r="D78" s="60"/>
      <c r="E78" s="71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</row>
    <row r="79" spans="4:34">
      <c r="D79" s="60"/>
      <c r="E79" s="71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</row>
    <row r="80" spans="4:34">
      <c r="D80" s="60"/>
      <c r="E80" s="71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</row>
    <row r="81" spans="4:34">
      <c r="D81" s="60"/>
      <c r="E81" s="71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</row>
    <row r="82" spans="4:34">
      <c r="D82" s="60"/>
      <c r="E82" s="71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</row>
    <row r="83" spans="4:34">
      <c r="D83" s="60"/>
      <c r="E83" s="71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</row>
    <row r="84" spans="4:34">
      <c r="D84" s="60"/>
      <c r="E84" s="71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</row>
    <row r="85" spans="4:34">
      <c r="D85" s="60"/>
      <c r="E85" s="71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</row>
    <row r="86" spans="4:34">
      <c r="D86" s="60"/>
      <c r="E86" s="71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</row>
    <row r="87" spans="4:34">
      <c r="D87" s="60"/>
      <c r="E87" s="71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</row>
    <row r="88" spans="4:34">
      <c r="D88" s="60"/>
      <c r="E88" s="71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</row>
    <row r="89" spans="4:34">
      <c r="D89" s="60"/>
      <c r="E89" s="71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</row>
    <row r="90" spans="4:34">
      <c r="D90" s="60"/>
      <c r="E90" s="71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</row>
    <row r="91" spans="4:34">
      <c r="D91" s="60"/>
      <c r="E91" s="71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</row>
    <row r="92" spans="4:34">
      <c r="D92" s="60"/>
      <c r="E92" s="71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</row>
    <row r="93" spans="4:34">
      <c r="D93" s="60"/>
      <c r="E93" s="71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</row>
    <row r="94" spans="4:34">
      <c r="D94" s="60"/>
      <c r="E94" s="71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</row>
    <row r="95" spans="4:34">
      <c r="D95" s="60"/>
      <c r="E95" s="71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</row>
    <row r="96" spans="4:34">
      <c r="D96" s="60"/>
      <c r="E96" s="71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</row>
    <row r="97" spans="4:34">
      <c r="D97" s="60"/>
      <c r="E97" s="71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</row>
    <row r="98" spans="4:34">
      <c r="D98" s="60"/>
      <c r="E98" s="71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</row>
    <row r="99" spans="4:34">
      <c r="D99" s="60"/>
      <c r="E99" s="71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</row>
    <row r="100" spans="4:34">
      <c r="D100" s="60"/>
      <c r="E100" s="71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</row>
    <row r="101" spans="4:34">
      <c r="D101" s="60"/>
      <c r="E101" s="71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</row>
    <row r="102" spans="4:34">
      <c r="D102" s="60"/>
      <c r="E102" s="71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</row>
    <row r="103" spans="4:34">
      <c r="D103" s="60"/>
      <c r="E103" s="71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</row>
    <row r="104" spans="4:34">
      <c r="D104" s="60"/>
      <c r="E104" s="71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</row>
    <row r="105" spans="4:34">
      <c r="D105" s="60"/>
      <c r="E105" s="71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</row>
    <row r="106" spans="4:34">
      <c r="D106" s="60"/>
      <c r="E106" s="71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</row>
    <row r="107" spans="4:34">
      <c r="D107" s="60"/>
      <c r="E107" s="71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</row>
    <row r="108" spans="4:34">
      <c r="D108" s="60"/>
      <c r="E108" s="71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</row>
    <row r="109" spans="4:34">
      <c r="D109" s="60"/>
      <c r="E109" s="71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</row>
    <row r="110" spans="4:34">
      <c r="D110" s="60"/>
      <c r="E110" s="71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</row>
    <row r="111" spans="4:34">
      <c r="D111" s="60"/>
      <c r="E111" s="71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</row>
    <row r="112" spans="4:34">
      <c r="D112" s="60"/>
      <c r="E112" s="71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</row>
    <row r="113" spans="4:34">
      <c r="D113" s="60"/>
      <c r="E113" s="71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</row>
    <row r="114" spans="4:34">
      <c r="D114" s="60"/>
      <c r="E114" s="71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</row>
    <row r="115" spans="4:34">
      <c r="D115" s="60"/>
      <c r="E115" s="71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</row>
    <row r="116" spans="4:34">
      <c r="D116" s="60"/>
      <c r="E116" s="71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</row>
    <row r="117" spans="4:34">
      <c r="D117" s="60"/>
      <c r="E117" s="71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</row>
    <row r="118" spans="4:34">
      <c r="D118" s="60"/>
      <c r="E118" s="71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</row>
    <row r="119" spans="4:34">
      <c r="D119" s="60"/>
      <c r="E119" s="71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</row>
    <row r="120" spans="4:34">
      <c r="D120" s="60"/>
      <c r="E120" s="71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</row>
    <row r="121" spans="4:34">
      <c r="D121" s="60"/>
      <c r="E121" s="71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</row>
    <row r="122" spans="4:34">
      <c r="D122" s="60"/>
      <c r="E122" s="71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</row>
    <row r="123" spans="4:34">
      <c r="D123" s="60"/>
      <c r="E123" s="71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</row>
    <row r="124" spans="4:34">
      <c r="D124" s="60"/>
      <c r="E124" s="71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</row>
    <row r="125" spans="4:34">
      <c r="D125" s="60"/>
      <c r="E125" s="71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</row>
    <row r="126" spans="4:34">
      <c r="D126" s="60"/>
      <c r="E126" s="71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</row>
    <row r="127" spans="4:34">
      <c r="D127" s="60"/>
      <c r="E127" s="71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</row>
    <row r="128" spans="4:34">
      <c r="D128" s="60"/>
      <c r="E128" s="71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</row>
    <row r="129" spans="4:34">
      <c r="D129" s="60"/>
      <c r="E129" s="71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</row>
    <row r="130" spans="4:34">
      <c r="D130" s="60"/>
      <c r="E130" s="71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</row>
    <row r="131" spans="4:34">
      <c r="D131" s="60"/>
      <c r="E131" s="71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</row>
    <row r="132" spans="4:34">
      <c r="D132" s="60"/>
      <c r="E132" s="71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</row>
    <row r="133" spans="4:34">
      <c r="D133" s="60"/>
      <c r="E133" s="71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</row>
    <row r="134" spans="4:34">
      <c r="D134" s="60"/>
      <c r="E134" s="71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</row>
    <row r="135" spans="4:34">
      <c r="D135" s="60"/>
      <c r="E135" s="71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</row>
    <row r="136" spans="4:34">
      <c r="D136" s="60"/>
      <c r="E136" s="71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</row>
    <row r="137" spans="4:34">
      <c r="D137" s="60"/>
      <c r="E137" s="71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</row>
    <row r="138" spans="4:34">
      <c r="D138" s="60"/>
      <c r="E138" s="71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</row>
    <row r="139" spans="4:34">
      <c r="D139" s="60"/>
      <c r="E139" s="71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</row>
    <row r="140" spans="4:34">
      <c r="D140" s="60"/>
      <c r="E140" s="71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</row>
    <row r="141" spans="4:34">
      <c r="D141" s="60"/>
      <c r="E141" s="71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</row>
    <row r="142" spans="4:34">
      <c r="D142" s="60"/>
      <c r="E142" s="71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</row>
    <row r="143" spans="4:34">
      <c r="D143" s="60"/>
      <c r="E143" s="71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</row>
    <row r="144" spans="4:34">
      <c r="D144" s="60"/>
      <c r="E144" s="71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</row>
    <row r="145" spans="4:34">
      <c r="D145" s="60"/>
      <c r="E145" s="71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</row>
    <row r="146" spans="4:34">
      <c r="D146" s="60"/>
      <c r="E146" s="71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</row>
    <row r="147" spans="4:34">
      <c r="D147" s="60"/>
      <c r="E147" s="71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</row>
    <row r="148" spans="4:34">
      <c r="D148" s="60"/>
      <c r="E148" s="71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</row>
    <row r="149" spans="4:34">
      <c r="D149" s="60"/>
      <c r="E149" s="71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</row>
    <row r="150" spans="4:34">
      <c r="D150" s="60"/>
      <c r="E150" s="71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</row>
    <row r="151" spans="4:34">
      <c r="D151" s="60"/>
      <c r="E151" s="71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</row>
    <row r="152" spans="4:34">
      <c r="D152" s="60"/>
      <c r="E152" s="71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</row>
    <row r="153" spans="4:34">
      <c r="D153" s="60"/>
      <c r="E153" s="71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</row>
    <row r="154" spans="4:34">
      <c r="D154" s="60"/>
      <c r="E154" s="71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</row>
    <row r="155" spans="4:34">
      <c r="D155" s="60"/>
      <c r="E155" s="71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</row>
    <row r="156" spans="4:34">
      <c r="D156" s="60"/>
      <c r="E156" s="71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</row>
    <row r="157" spans="4:34">
      <c r="D157" s="60"/>
      <c r="E157" s="71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spans="4:34">
      <c r="D158" s="60"/>
      <c r="E158" s="71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</row>
    <row r="159" spans="4:34">
      <c r="D159" s="60"/>
      <c r="E159" s="71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</row>
    <row r="160" spans="4:34">
      <c r="D160" s="60"/>
      <c r="E160" s="71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</row>
    <row r="161" spans="4:34">
      <c r="D161" s="60"/>
      <c r="E161" s="71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</row>
    <row r="162" spans="4:34">
      <c r="D162" s="60"/>
      <c r="E162" s="71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</row>
    <row r="163" spans="4:34">
      <c r="D163" s="60"/>
      <c r="E163" s="71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</row>
    <row r="164" spans="4:34">
      <c r="D164" s="60"/>
      <c r="E164" s="71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</row>
    <row r="165" spans="4:34">
      <c r="D165" s="60"/>
      <c r="E165" s="71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</row>
    <row r="166" spans="4:34">
      <c r="D166" s="60"/>
      <c r="E166" s="71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</row>
    <row r="167" spans="4:34">
      <c r="D167" s="60"/>
      <c r="E167" s="71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</row>
    <row r="168" spans="4:34">
      <c r="D168" s="60"/>
      <c r="E168" s="71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</row>
    <row r="169" spans="4:34">
      <c r="D169" s="60"/>
      <c r="E169" s="71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</row>
    <row r="170" spans="4:34">
      <c r="D170" s="60"/>
      <c r="E170" s="71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</row>
    <row r="171" spans="4:34">
      <c r="D171" s="60"/>
      <c r="E171" s="71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</row>
    <row r="172" spans="4:34">
      <c r="D172" s="60"/>
      <c r="E172" s="71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</row>
    <row r="173" spans="4:34">
      <c r="D173" s="60"/>
      <c r="E173" s="71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</row>
    <row r="174" spans="4:34">
      <c r="D174" s="60"/>
      <c r="E174" s="71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</row>
    <row r="175" spans="4:34">
      <c r="D175" s="60"/>
      <c r="E175" s="71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</row>
    <row r="176" spans="4:34">
      <c r="D176" s="60"/>
      <c r="E176" s="71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</row>
    <row r="177" spans="4:34">
      <c r="D177" s="60"/>
      <c r="E177" s="71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</row>
    <row r="178" spans="4:34">
      <c r="D178" s="60"/>
      <c r="E178" s="71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</row>
    <row r="179" spans="4:34">
      <c r="D179" s="60"/>
      <c r="E179" s="71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</row>
    <row r="180" spans="4:34">
      <c r="D180" s="60"/>
      <c r="E180" s="71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</row>
    <row r="181" spans="4:34">
      <c r="D181" s="60"/>
      <c r="E181" s="71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</row>
    <row r="182" spans="4:34">
      <c r="D182" s="60"/>
      <c r="E182" s="71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</row>
    <row r="183" spans="4:34">
      <c r="D183" s="60"/>
      <c r="E183" s="71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</row>
    <row r="184" spans="4:34">
      <c r="D184" s="60"/>
      <c r="E184" s="71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</row>
    <row r="185" spans="4:34">
      <c r="D185" s="60"/>
      <c r="E185" s="71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</row>
    <row r="186" spans="4:34">
      <c r="D186" s="60"/>
      <c r="E186" s="71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</row>
    <row r="187" spans="4:34">
      <c r="D187" s="60"/>
      <c r="E187" s="71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</row>
    <row r="188" spans="4:34">
      <c r="D188" s="60"/>
      <c r="E188" s="71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</row>
    <row r="189" spans="4:34">
      <c r="D189" s="60"/>
      <c r="E189" s="71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</row>
    <row r="190" spans="4:34">
      <c r="D190" s="60"/>
      <c r="E190" s="71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</row>
    <row r="191" spans="4:34">
      <c r="D191" s="60"/>
      <c r="E191" s="71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</row>
    <row r="192" spans="4:34">
      <c r="D192" s="60"/>
      <c r="E192" s="71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</row>
    <row r="193" spans="4:34">
      <c r="D193" s="60"/>
      <c r="E193" s="71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</row>
    <row r="194" spans="4:34">
      <c r="D194" s="60"/>
      <c r="E194" s="71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</row>
    <row r="195" spans="4:34">
      <c r="D195" s="60"/>
      <c r="E195" s="71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</row>
    <row r="196" spans="4:34">
      <c r="D196" s="60"/>
      <c r="E196" s="71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</row>
    <row r="197" spans="4:34">
      <c r="D197" s="60"/>
      <c r="E197" s="71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</row>
    <row r="198" spans="4:34">
      <c r="D198" s="60"/>
      <c r="E198" s="71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</row>
    <row r="199" spans="4:34">
      <c r="D199" s="60"/>
      <c r="E199" s="71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</row>
    <row r="200" spans="4:34">
      <c r="D200" s="60"/>
      <c r="E200" s="71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</row>
    <row r="201" spans="4:34">
      <c r="D201" s="60"/>
      <c r="E201" s="71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</row>
    <row r="202" spans="4:34">
      <c r="D202" s="60"/>
      <c r="E202" s="71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</row>
    <row r="203" spans="4:34">
      <c r="D203" s="60"/>
      <c r="E203" s="71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</row>
    <row r="204" spans="4:34">
      <c r="D204" s="60"/>
      <c r="E204" s="71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</row>
    <row r="205" spans="4:34">
      <c r="D205" s="60"/>
      <c r="E205" s="71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</row>
    <row r="206" spans="4:34">
      <c r="D206" s="60"/>
      <c r="E206" s="71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</row>
    <row r="207" spans="4:34">
      <c r="D207" s="60"/>
      <c r="E207" s="71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</row>
    <row r="208" spans="4:34">
      <c r="D208" s="60"/>
      <c r="E208" s="71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</row>
    <row r="209" spans="4:34">
      <c r="D209" s="60"/>
      <c r="E209" s="71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</row>
    <row r="210" spans="4:34">
      <c r="D210" s="60"/>
      <c r="E210" s="71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</row>
    <row r="211" spans="4:34">
      <c r="D211" s="60"/>
      <c r="E211" s="71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</row>
    <row r="212" spans="4:34">
      <c r="D212" s="60"/>
      <c r="E212" s="71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</row>
    <row r="213" spans="4:34">
      <c r="D213" s="60"/>
      <c r="E213" s="71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</row>
    <row r="214" spans="4:34">
      <c r="D214" s="60"/>
      <c r="E214" s="71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</row>
    <row r="215" spans="4:34">
      <c r="D215" s="60"/>
      <c r="E215" s="71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</row>
    <row r="216" spans="4:34">
      <c r="D216" s="60"/>
      <c r="E216" s="71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</row>
    <row r="217" spans="4:34">
      <c r="D217" s="60"/>
      <c r="E217" s="71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</row>
    <row r="218" spans="4:34">
      <c r="D218" s="60"/>
      <c r="E218" s="71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</row>
    <row r="219" spans="4:34">
      <c r="D219" s="60"/>
      <c r="E219" s="71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</row>
    <row r="220" spans="4:34">
      <c r="D220" s="60"/>
      <c r="E220" s="71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</row>
    <row r="221" spans="4:34">
      <c r="D221" s="60"/>
      <c r="E221" s="71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</row>
    <row r="222" spans="4:34">
      <c r="D222" s="60"/>
      <c r="E222" s="71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</row>
    <row r="223" spans="4:34">
      <c r="D223" s="60"/>
      <c r="E223" s="71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</row>
    <row r="224" spans="4:34">
      <c r="D224" s="60"/>
      <c r="E224" s="71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</row>
    <row r="225" spans="4:34">
      <c r="D225" s="60"/>
      <c r="E225" s="71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</row>
    <row r="226" spans="4:34">
      <c r="D226" s="60"/>
      <c r="E226" s="71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</row>
    <row r="227" spans="4:34">
      <c r="D227" s="60"/>
      <c r="E227" s="71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</row>
    <row r="228" spans="4:34">
      <c r="D228" s="60"/>
      <c r="E228" s="71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</row>
    <row r="229" spans="4:34">
      <c r="D229" s="60"/>
      <c r="E229" s="71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</row>
    <row r="230" spans="4:34">
      <c r="D230" s="60"/>
      <c r="E230" s="71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</row>
    <row r="231" spans="4:34">
      <c r="D231" s="60"/>
      <c r="E231" s="71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</row>
    <row r="232" spans="4:34">
      <c r="D232" s="60"/>
      <c r="E232" s="71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</row>
    <row r="233" spans="4:34">
      <c r="D233" s="60"/>
      <c r="E233" s="71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</row>
    <row r="234" spans="4:34">
      <c r="D234" s="60"/>
      <c r="E234" s="71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</row>
    <row r="235" spans="4:34">
      <c r="D235" s="60"/>
      <c r="E235" s="71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</row>
    <row r="236" spans="4:34">
      <c r="D236" s="60"/>
      <c r="E236" s="71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</row>
    <row r="237" spans="4:34">
      <c r="D237" s="60"/>
      <c r="E237" s="71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</row>
    <row r="238" spans="4:34">
      <c r="D238" s="60"/>
      <c r="E238" s="71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</row>
    <row r="239" spans="4:34">
      <c r="D239" s="60"/>
      <c r="E239" s="71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</row>
    <row r="240" spans="4:34">
      <c r="D240" s="60"/>
      <c r="E240" s="71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</row>
    <row r="241" spans="4:34">
      <c r="D241" s="60"/>
      <c r="E241" s="71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</row>
    <row r="242" spans="4:34">
      <c r="D242" s="60"/>
      <c r="E242" s="71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</row>
    <row r="243" spans="4:34">
      <c r="D243" s="60"/>
      <c r="E243" s="71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</row>
    <row r="244" spans="4:34">
      <c r="D244" s="60"/>
      <c r="E244" s="71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</row>
    <row r="245" spans="4:34">
      <c r="D245" s="60"/>
      <c r="E245" s="71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</row>
    <row r="246" spans="4:34">
      <c r="D246" s="60"/>
      <c r="E246" s="71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</row>
    <row r="247" spans="4:34">
      <c r="D247" s="60"/>
      <c r="E247" s="71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</row>
    <row r="248" spans="4:34">
      <c r="D248" s="60"/>
      <c r="E248" s="71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</row>
    <row r="249" spans="4:34">
      <c r="D249" s="60"/>
      <c r="E249" s="71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</row>
    <row r="250" spans="4:34">
      <c r="D250" s="60"/>
      <c r="E250" s="71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</row>
    <row r="251" spans="4:34">
      <c r="D251" s="60"/>
      <c r="E251" s="71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</row>
    <row r="252" spans="4:34">
      <c r="D252" s="60"/>
      <c r="E252" s="71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</row>
    <row r="253" spans="4:34">
      <c r="D253" s="60"/>
      <c r="E253" s="71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</row>
    <row r="254" spans="4:34">
      <c r="D254" s="60"/>
      <c r="E254" s="71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</row>
    <row r="255" spans="4:34">
      <c r="D255" s="60"/>
      <c r="E255" s="71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</row>
    <row r="256" spans="4:34">
      <c r="D256" s="60"/>
      <c r="E256" s="71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</row>
    <row r="257" spans="4:34">
      <c r="D257" s="60"/>
      <c r="E257" s="71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</row>
    <row r="258" spans="4:34">
      <c r="D258" s="60"/>
      <c r="E258" s="71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</row>
    <row r="259" spans="4:34">
      <c r="D259" s="60"/>
      <c r="E259" s="71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</row>
    <row r="260" spans="4:34">
      <c r="D260" s="60"/>
      <c r="E260" s="71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</row>
    <row r="261" spans="4:34">
      <c r="D261" s="60"/>
      <c r="E261" s="71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</row>
    <row r="262" spans="4:34">
      <c r="D262" s="60"/>
      <c r="E262" s="71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</row>
    <row r="263" spans="4:34">
      <c r="D263" s="60"/>
      <c r="E263" s="71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</row>
    <row r="264" spans="4:34">
      <c r="D264" s="60"/>
      <c r="E264" s="71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</row>
    <row r="265" spans="4:34">
      <c r="D265" s="60"/>
      <c r="E265" s="71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</row>
    <row r="266" spans="4:34">
      <c r="D266" s="60"/>
      <c r="E266" s="71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</row>
    <row r="267" spans="4:34">
      <c r="D267" s="60"/>
      <c r="E267" s="71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</row>
    <row r="268" spans="4:34">
      <c r="D268" s="60"/>
      <c r="E268" s="71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</row>
    <row r="269" spans="4:34">
      <c r="D269" s="60"/>
      <c r="E269" s="71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</row>
    <row r="270" spans="4:34">
      <c r="D270" s="60"/>
      <c r="E270" s="71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</row>
    <row r="271" spans="4:34">
      <c r="D271" s="60"/>
      <c r="E271" s="71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</row>
    <row r="272" spans="4:34">
      <c r="D272" s="60"/>
      <c r="E272" s="71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</row>
    <row r="273" spans="4:34">
      <c r="D273" s="60"/>
      <c r="E273" s="71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</row>
    <row r="274" spans="4:34">
      <c r="D274" s="60"/>
      <c r="E274" s="71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</row>
    <row r="275" spans="4:34">
      <c r="D275" s="60"/>
      <c r="E275" s="71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</row>
    <row r="276" spans="4:34">
      <c r="D276" s="60"/>
      <c r="E276" s="71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</row>
    <row r="277" spans="4:34">
      <c r="D277" s="60"/>
      <c r="E277" s="71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</row>
    <row r="278" spans="4:34">
      <c r="D278" s="60"/>
      <c r="E278" s="71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</row>
    <row r="279" spans="4:34">
      <c r="D279" s="60"/>
      <c r="E279" s="71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</row>
    <row r="280" spans="4:34">
      <c r="D280" s="60"/>
      <c r="E280" s="71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</row>
    <row r="281" spans="4:34">
      <c r="D281" s="60"/>
      <c r="E281" s="71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</row>
    <row r="282" spans="4:34">
      <c r="D282" s="60"/>
      <c r="E282" s="71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</row>
    <row r="283" spans="4:34">
      <c r="D283" s="60"/>
      <c r="E283" s="71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</row>
    <row r="284" spans="4:34">
      <c r="D284" s="60"/>
      <c r="E284" s="71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</row>
    <row r="285" spans="4:34">
      <c r="D285" s="60"/>
      <c r="E285" s="71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</row>
    <row r="286" spans="4:34">
      <c r="D286" s="60"/>
      <c r="E286" s="71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</row>
    <row r="287" spans="4:34">
      <c r="D287" s="60"/>
      <c r="E287" s="71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</row>
    <row r="288" spans="4:34">
      <c r="D288" s="60"/>
      <c r="E288" s="71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</row>
    <row r="289" spans="4:34">
      <c r="D289" s="60"/>
      <c r="E289" s="71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</row>
    <row r="290" spans="4:34">
      <c r="D290" s="60"/>
      <c r="E290" s="71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</row>
    <row r="291" spans="4:34">
      <c r="D291" s="60"/>
      <c r="E291" s="71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</row>
    <row r="292" spans="4:34">
      <c r="D292" s="60"/>
      <c r="E292" s="71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</row>
    <row r="293" spans="4:34">
      <c r="D293" s="60"/>
      <c r="E293" s="71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</row>
    <row r="294" spans="4:34">
      <c r="D294" s="60"/>
      <c r="E294" s="71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</row>
    <row r="295" spans="4:34">
      <c r="D295" s="60"/>
      <c r="E295" s="71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</row>
    <row r="296" spans="4:34">
      <c r="D296" s="60"/>
      <c r="E296" s="71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</row>
    <row r="297" spans="4:34">
      <c r="D297" s="60"/>
      <c r="E297" s="71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</row>
    <row r="298" spans="4:34">
      <c r="D298" s="60"/>
      <c r="E298" s="71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</row>
    <row r="299" spans="4:34">
      <c r="D299" s="60"/>
      <c r="E299" s="71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</row>
    <row r="300" spans="4:34">
      <c r="D300" s="60"/>
      <c r="E300" s="71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</row>
    <row r="301" spans="4:34">
      <c r="D301" s="60"/>
      <c r="E301" s="71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</row>
    <row r="302" spans="4:34">
      <c r="D302" s="60"/>
      <c r="E302" s="71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</row>
    <row r="303" spans="4:34">
      <c r="D303" s="60"/>
      <c r="E303" s="71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</row>
    <row r="304" spans="4:34">
      <c r="D304" s="60"/>
      <c r="E304" s="71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</row>
    <row r="305" spans="4:34">
      <c r="D305" s="60"/>
      <c r="E305" s="71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</row>
    <row r="306" spans="4:34">
      <c r="D306" s="60"/>
      <c r="E306" s="71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</row>
    <row r="307" spans="4:34">
      <c r="D307" s="60"/>
      <c r="E307" s="71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</row>
    <row r="308" spans="4:34">
      <c r="D308" s="60"/>
      <c r="E308" s="71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</row>
    <row r="309" spans="4:34">
      <c r="D309" s="60"/>
      <c r="E309" s="71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</row>
    <row r="310" spans="4:34">
      <c r="D310" s="60"/>
      <c r="E310" s="71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</row>
    <row r="311" spans="4:34">
      <c r="D311" s="60"/>
      <c r="E311" s="71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</row>
    <row r="312" spans="4:34">
      <c r="D312" s="60"/>
      <c r="E312" s="71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</row>
    <row r="313" spans="4:34">
      <c r="D313" s="60"/>
      <c r="E313" s="71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</row>
    <row r="314" spans="4:34">
      <c r="D314" s="60"/>
      <c r="E314" s="71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</row>
    <row r="315" spans="4:34">
      <c r="D315" s="60"/>
      <c r="E315" s="71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</row>
    <row r="316" spans="4:34">
      <c r="D316" s="60"/>
      <c r="E316" s="71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</row>
    <row r="317" spans="4:34">
      <c r="D317" s="60"/>
      <c r="E317" s="71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</row>
    <row r="318" spans="4:34">
      <c r="D318" s="60"/>
      <c r="E318" s="71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</row>
    <row r="319" spans="4:34">
      <c r="D319" s="60"/>
      <c r="E319" s="71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</row>
    <row r="320" spans="4:34">
      <c r="D320" s="60"/>
      <c r="E320" s="71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</row>
    <row r="321" spans="4:34">
      <c r="D321" s="60"/>
      <c r="E321" s="71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</row>
    <row r="322" spans="4:34">
      <c r="D322" s="60"/>
      <c r="E322" s="71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</row>
    <row r="323" spans="4:34">
      <c r="D323" s="60"/>
      <c r="E323" s="71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</row>
    <row r="324" spans="4:34">
      <c r="D324" s="60"/>
      <c r="E324" s="71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</row>
    <row r="325" spans="4:34">
      <c r="D325" s="60"/>
      <c r="E325" s="71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</row>
    <row r="326" spans="4:34">
      <c r="D326" s="60"/>
      <c r="E326" s="71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</row>
    <row r="327" spans="4:34">
      <c r="D327" s="60"/>
      <c r="E327" s="71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</row>
    <row r="328" spans="4:34">
      <c r="D328" s="60"/>
      <c r="E328" s="71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</row>
    <row r="329" spans="4:34">
      <c r="D329" s="60"/>
      <c r="E329" s="71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</row>
    <row r="330" spans="4:34">
      <c r="D330" s="60"/>
      <c r="E330" s="71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</row>
    <row r="331" spans="4:34">
      <c r="D331" s="60"/>
      <c r="E331" s="71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</row>
    <row r="332" spans="4:34">
      <c r="D332" s="60"/>
      <c r="E332" s="71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</row>
    <row r="333" spans="4:34">
      <c r="D333" s="60"/>
      <c r="E333" s="71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</row>
    <row r="334" spans="4:34">
      <c r="D334" s="60"/>
      <c r="E334" s="71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</row>
    <row r="335" spans="4:34">
      <c r="D335" s="60"/>
      <c r="E335" s="71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</row>
    <row r="336" spans="4:34">
      <c r="D336" s="60"/>
      <c r="E336" s="71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</row>
    <row r="337" spans="4:34">
      <c r="D337" s="60"/>
      <c r="E337" s="71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</row>
    <row r="338" spans="4:34">
      <c r="D338" s="60"/>
      <c r="E338" s="71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</row>
    <row r="339" spans="4:34">
      <c r="D339" s="60"/>
      <c r="E339" s="71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</row>
    <row r="340" spans="4:34">
      <c r="D340" s="60"/>
      <c r="E340" s="71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</row>
    <row r="341" spans="4:34">
      <c r="D341" s="60"/>
      <c r="E341" s="71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</row>
    <row r="342" spans="4:34">
      <c r="D342" s="60"/>
      <c r="E342" s="71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</row>
    <row r="343" spans="4:34">
      <c r="D343" s="60"/>
      <c r="E343" s="71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</row>
    <row r="344" spans="4:34">
      <c r="D344" s="60"/>
      <c r="E344" s="71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</row>
    <row r="345" spans="4:34">
      <c r="D345" s="60"/>
      <c r="E345" s="71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</row>
    <row r="346" spans="4:34">
      <c r="D346" s="60"/>
      <c r="E346" s="71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</row>
    <row r="347" spans="4:34">
      <c r="D347" s="60"/>
      <c r="E347" s="71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</row>
    <row r="348" spans="4:34">
      <c r="D348" s="60"/>
      <c r="E348" s="71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</row>
    <row r="349" spans="4:34">
      <c r="D349" s="60"/>
      <c r="E349" s="71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</row>
    <row r="350" spans="4:34">
      <c r="D350" s="60"/>
      <c r="E350" s="71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</row>
    <row r="351" spans="4:34">
      <c r="D351" s="60"/>
      <c r="E351" s="71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</row>
    <row r="352" spans="4:34">
      <c r="D352" s="60"/>
      <c r="E352" s="71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</row>
    <row r="353" spans="4:34">
      <c r="D353" s="60"/>
      <c r="E353" s="71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</row>
    <row r="354" spans="4:34">
      <c r="D354" s="60"/>
      <c r="E354" s="71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</row>
    <row r="355" spans="4:34">
      <c r="D355" s="60"/>
      <c r="E355" s="71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</row>
    <row r="356" spans="4:34">
      <c r="D356" s="60"/>
      <c r="E356" s="71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</row>
    <row r="357" spans="4:34">
      <c r="D357" s="60"/>
      <c r="E357" s="71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</row>
    <row r="358" spans="4:34">
      <c r="D358" s="60"/>
      <c r="E358" s="71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</row>
    <row r="359" spans="4:34">
      <c r="D359" s="60"/>
      <c r="E359" s="71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</row>
    <row r="360" spans="4:34">
      <c r="D360" s="60"/>
      <c r="E360" s="71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</row>
    <row r="361" spans="4:34">
      <c r="D361" s="60"/>
      <c r="E361" s="71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</row>
    <row r="362" spans="4:34">
      <c r="D362" s="60"/>
      <c r="E362" s="71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</row>
    <row r="363" spans="4:34">
      <c r="D363" s="60"/>
      <c r="E363" s="71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</row>
    <row r="364" spans="4:34">
      <c r="D364" s="60"/>
      <c r="E364" s="71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</row>
    <row r="365" spans="4:34">
      <c r="D365" s="60"/>
      <c r="E365" s="71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</row>
    <row r="366" spans="4:34">
      <c r="D366" s="60"/>
      <c r="E366" s="71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</row>
    <row r="367" spans="4:34">
      <c r="D367" s="60"/>
      <c r="E367" s="71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</row>
    <row r="368" spans="4:34">
      <c r="D368" s="60"/>
      <c r="E368" s="71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</row>
    <row r="369" spans="4:34">
      <c r="D369" s="60"/>
      <c r="E369" s="71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</row>
    <row r="370" spans="4:34">
      <c r="D370" s="60"/>
      <c r="E370" s="71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</row>
    <row r="371" spans="4:34">
      <c r="D371" s="60"/>
      <c r="E371" s="71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</row>
    <row r="372" spans="4:34">
      <c r="D372" s="60"/>
      <c r="E372" s="71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</row>
    <row r="373" spans="4:34">
      <c r="D373" s="60"/>
      <c r="E373" s="71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</row>
    <row r="374" spans="4:34">
      <c r="D374" s="60"/>
      <c r="E374" s="71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</row>
    <row r="375" spans="4:34">
      <c r="D375" s="60"/>
      <c r="E375" s="71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</row>
    <row r="376" spans="4:34">
      <c r="D376" s="60"/>
      <c r="E376" s="71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</row>
    <row r="377" spans="4:34">
      <c r="D377" s="60"/>
      <c r="E377" s="71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</row>
    <row r="378" spans="4:34">
      <c r="D378" s="60"/>
      <c r="E378" s="71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</row>
    <row r="379" spans="4:34">
      <c r="D379" s="60"/>
      <c r="E379" s="71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</row>
    <row r="380" spans="4:34">
      <c r="D380" s="60"/>
      <c r="E380" s="71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</row>
    <row r="381" spans="4:34">
      <c r="D381" s="60"/>
      <c r="E381" s="71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</row>
    <row r="382" spans="4:34">
      <c r="D382" s="60"/>
      <c r="E382" s="71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</row>
    <row r="383" spans="4:34">
      <c r="D383" s="60"/>
      <c r="E383" s="71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</row>
    <row r="384" spans="4:34">
      <c r="D384" s="60"/>
      <c r="E384" s="71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</row>
    <row r="385" spans="4:34">
      <c r="D385" s="60"/>
      <c r="E385" s="71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</row>
    <row r="386" spans="4:34">
      <c r="D386" s="60"/>
      <c r="E386" s="71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</row>
    <row r="387" spans="4:34">
      <c r="D387" s="60"/>
      <c r="E387" s="71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</row>
    <row r="388" spans="4:34">
      <c r="D388" s="60"/>
      <c r="E388" s="71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</row>
    <row r="389" spans="4:34">
      <c r="D389" s="60"/>
      <c r="E389" s="71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</row>
    <row r="390" spans="4:34">
      <c r="D390" s="60"/>
      <c r="E390" s="71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</row>
    <row r="391" spans="4:34">
      <c r="D391" s="60"/>
      <c r="E391" s="71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</row>
    <row r="392" spans="4:34">
      <c r="D392" s="60"/>
      <c r="E392" s="71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</row>
    <row r="393" spans="4:34">
      <c r="D393" s="60"/>
      <c r="E393" s="71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</row>
    <row r="394" spans="4:34">
      <c r="D394" s="60"/>
      <c r="E394" s="71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</row>
    <row r="395" spans="4:34">
      <c r="D395" s="60"/>
      <c r="E395" s="71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</row>
    <row r="396" spans="4:34">
      <c r="D396" s="60"/>
      <c r="E396" s="71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</row>
    <row r="397" spans="4:34">
      <c r="D397" s="60"/>
      <c r="E397" s="71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</row>
    <row r="398" spans="4:34">
      <c r="D398" s="60"/>
      <c r="E398" s="71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</row>
    <row r="399" spans="4:34">
      <c r="D399" s="60"/>
      <c r="E399" s="71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</row>
    <row r="400" spans="4:34">
      <c r="D400" s="60"/>
      <c r="E400" s="71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</row>
    <row r="401" spans="4:34">
      <c r="D401" s="60"/>
      <c r="E401" s="71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</row>
    <row r="402" spans="4:34">
      <c r="D402" s="60"/>
      <c r="E402" s="71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</row>
    <row r="403" spans="4:34">
      <c r="D403" s="60"/>
      <c r="E403" s="71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</row>
    <row r="404" spans="4:34">
      <c r="D404" s="60"/>
      <c r="E404" s="71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</row>
    <row r="405" spans="4:34">
      <c r="D405" s="60"/>
      <c r="E405" s="71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</row>
    <row r="406" spans="4:34">
      <c r="D406" s="60"/>
      <c r="E406" s="71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</row>
    <row r="407" spans="4:34">
      <c r="D407" s="60"/>
      <c r="E407" s="71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</row>
    <row r="408" spans="4:34">
      <c r="D408" s="60"/>
      <c r="E408" s="71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</row>
    <row r="409" spans="4:34">
      <c r="D409" s="60"/>
      <c r="E409" s="71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</row>
    <row r="410" spans="4:34">
      <c r="D410" s="60"/>
      <c r="E410" s="71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</row>
    <row r="411" spans="4:34">
      <c r="D411" s="60"/>
      <c r="E411" s="71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</row>
    <row r="412" spans="4:34">
      <c r="D412" s="60"/>
      <c r="E412" s="71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</row>
    <row r="413" spans="4:34">
      <c r="D413" s="60"/>
      <c r="E413" s="71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</row>
    <row r="414" spans="4:34">
      <c r="D414" s="60"/>
      <c r="E414" s="71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</row>
    <row r="415" spans="4:34">
      <c r="D415" s="60"/>
      <c r="E415" s="71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</row>
    <row r="416" spans="4:34">
      <c r="D416" s="60"/>
      <c r="E416" s="71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</row>
    <row r="417" spans="4:34">
      <c r="D417" s="60"/>
      <c r="E417" s="71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</row>
    <row r="418" spans="4:34">
      <c r="D418" s="60"/>
      <c r="E418" s="71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</row>
    <row r="419" spans="4:34">
      <c r="D419" s="60"/>
      <c r="E419" s="71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</row>
    <row r="420" spans="4:34">
      <c r="D420" s="60"/>
      <c r="E420" s="71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</row>
    <row r="421" spans="4:34">
      <c r="D421" s="60"/>
      <c r="E421" s="71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</row>
    <row r="422" spans="4:34">
      <c r="D422" s="60"/>
      <c r="E422" s="71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</row>
    <row r="423" spans="4:34">
      <c r="D423" s="60"/>
      <c r="E423" s="71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</row>
    <row r="424" spans="4:34">
      <c r="D424" s="60"/>
      <c r="E424" s="71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</row>
    <row r="425" spans="4:34">
      <c r="D425" s="60"/>
      <c r="E425" s="71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</row>
    <row r="426" spans="4:34">
      <c r="D426" s="60"/>
      <c r="E426" s="71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</row>
    <row r="427" spans="4:34">
      <c r="D427" s="60"/>
      <c r="E427" s="71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</row>
  </sheetData>
  <phoneticPr fontId="39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7CBF-34A4-4822-934D-C6EF5DE90B5E}">
  <dimension ref="A1:MX364"/>
  <sheetViews>
    <sheetView workbookViewId="0">
      <selection activeCell="D34" sqref="D34"/>
    </sheetView>
  </sheetViews>
  <sheetFormatPr defaultColWidth="9.1796875" defaultRowHeight="12.5"/>
  <cols>
    <col min="1" max="1" width="33.54296875" style="9" customWidth="1"/>
    <col min="2" max="2" width="12" style="10" customWidth="1"/>
    <col min="3" max="3" width="7.453125" style="10" customWidth="1"/>
    <col min="4" max="362" width="9.1796875" style="13"/>
    <col min="363" max="16384" width="9.1796875" style="10"/>
  </cols>
  <sheetData>
    <row r="1" spans="1:362" s="5" customFormat="1">
      <c r="A1" s="23" t="s">
        <v>90</v>
      </c>
      <c r="B1" s="25" t="s">
        <v>48</v>
      </c>
      <c r="C1" s="24"/>
      <c r="D1" s="11"/>
      <c r="E1" s="12"/>
      <c r="F1" s="12"/>
      <c r="G1" s="11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</row>
    <row r="2" spans="1:362" s="1" customFormat="1">
      <c r="A2" s="22" t="s">
        <v>42</v>
      </c>
      <c r="B2" s="26" t="s">
        <v>43</v>
      </c>
      <c r="C2" s="16">
        <v>50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</row>
    <row r="3" spans="1:362" s="1" customFormat="1">
      <c r="A3" s="18" t="s">
        <v>44</v>
      </c>
      <c r="B3" s="27" t="s">
        <v>43</v>
      </c>
      <c r="C3" s="16">
        <v>36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</row>
    <row r="4" spans="1:362" s="1" customFormat="1">
      <c r="A4" s="22" t="s">
        <v>46</v>
      </c>
      <c r="B4" s="26" t="s">
        <v>47</v>
      </c>
      <c r="C4" s="16">
        <v>100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</row>
    <row r="5" spans="1:362" s="1" customFormat="1">
      <c r="A5" s="18" t="s">
        <v>58</v>
      </c>
      <c r="B5" s="27" t="s">
        <v>45</v>
      </c>
      <c r="C5" s="32">
        <f>2*18*2.54/100</f>
        <v>0.91439999999999999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</row>
    <row r="6" spans="1:362" s="1" customFormat="1">
      <c r="A6" s="18" t="s">
        <v>49</v>
      </c>
      <c r="B6" s="27" t="s">
        <v>50</v>
      </c>
      <c r="C6" s="15">
        <v>0.15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</row>
    <row r="7" spans="1:362" s="13" customFormat="1">
      <c r="A7" s="14"/>
    </row>
    <row r="8" spans="1:362" s="13" customFormat="1">
      <c r="A8" s="23" t="s">
        <v>89</v>
      </c>
      <c r="B8" s="25" t="s">
        <v>64</v>
      </c>
      <c r="C8" s="24" t="s">
        <v>86</v>
      </c>
    </row>
    <row r="9" spans="1:362" s="13" customFormat="1">
      <c r="A9" s="22"/>
      <c r="B9" s="26">
        <v>0</v>
      </c>
      <c r="C9" s="16" t="s">
        <v>11</v>
      </c>
    </row>
    <row r="10" spans="1:362" s="13" customFormat="1">
      <c r="A10" s="18"/>
      <c r="B10" s="27">
        <v>7</v>
      </c>
      <c r="C10" s="16" t="s">
        <v>12</v>
      </c>
    </row>
    <row r="11" spans="1:362" s="13" customFormat="1">
      <c r="A11" s="22"/>
      <c r="B11" s="26">
        <v>10</v>
      </c>
      <c r="C11" s="16" t="s">
        <v>13</v>
      </c>
    </row>
    <row r="12" spans="1:362" s="13" customFormat="1">
      <c r="A12" s="18"/>
      <c r="B12" s="27">
        <v>15</v>
      </c>
      <c r="C12" s="33" t="s">
        <v>15</v>
      </c>
    </row>
    <row r="13" spans="1:362" s="13" customFormat="1">
      <c r="A13" s="18"/>
      <c r="B13" s="27">
        <v>20</v>
      </c>
      <c r="C13" s="15" t="s">
        <v>14</v>
      </c>
    </row>
    <row r="14" spans="1:362" s="13" customFormat="1">
      <c r="A14" s="18"/>
      <c r="B14" s="27">
        <v>25</v>
      </c>
      <c r="C14" s="15" t="s">
        <v>16</v>
      </c>
    </row>
    <row r="15" spans="1:362" s="13" customFormat="1">
      <c r="A15" s="14"/>
    </row>
    <row r="16" spans="1:362" s="13" customFormat="1">
      <c r="A16" s="23" t="s">
        <v>91</v>
      </c>
      <c r="B16" s="25" t="s">
        <v>64</v>
      </c>
      <c r="C16" s="24" t="s">
        <v>86</v>
      </c>
    </row>
    <row r="17" spans="1:3" s="13" customFormat="1">
      <c r="A17" s="22"/>
      <c r="B17" s="26">
        <v>0</v>
      </c>
      <c r="C17" s="16" t="s">
        <v>11</v>
      </c>
    </row>
    <row r="18" spans="1:3" s="13" customFormat="1">
      <c r="A18" s="18"/>
      <c r="B18" s="27">
        <v>5</v>
      </c>
      <c r="C18" s="16" t="s">
        <v>12</v>
      </c>
    </row>
    <row r="19" spans="1:3" s="13" customFormat="1">
      <c r="A19" s="22"/>
      <c r="B19" s="26">
        <v>7</v>
      </c>
      <c r="C19" s="16" t="s">
        <v>13</v>
      </c>
    </row>
    <row r="20" spans="1:3" s="13" customFormat="1">
      <c r="A20" s="18"/>
      <c r="B20" s="27">
        <v>10</v>
      </c>
      <c r="C20" s="33" t="s">
        <v>15</v>
      </c>
    </row>
    <row r="21" spans="1:3" s="13" customFormat="1">
      <c r="A21" s="18"/>
      <c r="B21" s="27">
        <v>13</v>
      </c>
      <c r="C21" s="15" t="s">
        <v>14</v>
      </c>
    </row>
    <row r="22" spans="1:3" s="13" customFormat="1">
      <c r="A22" s="18"/>
      <c r="B22" s="27">
        <v>17</v>
      </c>
      <c r="C22" s="15" t="s">
        <v>16</v>
      </c>
    </row>
    <row r="23" spans="1:3" s="13" customFormat="1">
      <c r="A23" s="14"/>
    </row>
    <row r="24" spans="1:3" s="13" customFormat="1">
      <c r="A24" s="14"/>
    </row>
    <row r="25" spans="1:3" s="13" customFormat="1">
      <c r="A25" s="14"/>
    </row>
    <row r="26" spans="1:3" s="13" customFormat="1">
      <c r="A26" s="14"/>
    </row>
    <row r="27" spans="1:3" s="13" customFormat="1">
      <c r="A27" s="14"/>
    </row>
    <row r="28" spans="1:3" s="13" customFormat="1">
      <c r="A28" s="14"/>
    </row>
    <row r="29" spans="1:3" s="13" customFormat="1">
      <c r="A29" s="14"/>
    </row>
    <row r="30" spans="1:3" s="13" customFormat="1">
      <c r="A30" s="14"/>
    </row>
    <row r="31" spans="1:3" s="13" customFormat="1">
      <c r="A31" s="14"/>
    </row>
    <row r="32" spans="1:3" s="13" customFormat="1">
      <c r="A32" s="14"/>
    </row>
    <row r="33" spans="1:1" s="13" customFormat="1">
      <c r="A33" s="14"/>
    </row>
    <row r="34" spans="1:1" s="13" customFormat="1">
      <c r="A34" s="14"/>
    </row>
    <row r="35" spans="1:1" s="13" customFormat="1">
      <c r="A35" s="14"/>
    </row>
    <row r="36" spans="1:1" s="13" customFormat="1">
      <c r="A36" s="14"/>
    </row>
    <row r="37" spans="1:1" s="13" customFormat="1">
      <c r="A37" s="14"/>
    </row>
    <row r="38" spans="1:1" s="13" customFormat="1">
      <c r="A38" s="14"/>
    </row>
    <row r="39" spans="1:1" s="13" customFormat="1">
      <c r="A39" s="14"/>
    </row>
    <row r="40" spans="1:1" s="13" customFormat="1">
      <c r="A40" s="14"/>
    </row>
    <row r="41" spans="1:1" s="13" customFormat="1">
      <c r="A41" s="14"/>
    </row>
    <row r="42" spans="1:1" s="13" customFormat="1">
      <c r="A42" s="14"/>
    </row>
    <row r="43" spans="1:1" s="13" customFormat="1">
      <c r="A43" s="14"/>
    </row>
    <row r="44" spans="1:1" s="13" customFormat="1">
      <c r="A44" s="14"/>
    </row>
    <row r="45" spans="1:1" s="13" customFormat="1">
      <c r="A45" s="14"/>
    </row>
    <row r="46" spans="1:1" s="13" customFormat="1">
      <c r="A46" s="14"/>
    </row>
    <row r="47" spans="1:1" s="13" customFormat="1">
      <c r="A47" s="14"/>
    </row>
    <row r="48" spans="1:1" s="13" customFormat="1">
      <c r="A48" s="14"/>
    </row>
    <row r="49" spans="1:1" s="13" customFormat="1">
      <c r="A49" s="14"/>
    </row>
    <row r="50" spans="1:1" s="13" customFormat="1">
      <c r="A50" s="14"/>
    </row>
    <row r="51" spans="1:1" s="13" customFormat="1">
      <c r="A51" s="14"/>
    </row>
    <row r="52" spans="1:1" s="13" customFormat="1">
      <c r="A52" s="14"/>
    </row>
    <row r="53" spans="1:1" s="13" customFormat="1">
      <c r="A53" s="14"/>
    </row>
    <row r="54" spans="1:1" s="13" customFormat="1">
      <c r="A54" s="14"/>
    </row>
    <row r="55" spans="1:1" s="13" customFormat="1">
      <c r="A55" s="14"/>
    </row>
    <row r="56" spans="1:1" s="13" customFormat="1">
      <c r="A56" s="14"/>
    </row>
    <row r="57" spans="1:1" s="13" customFormat="1">
      <c r="A57" s="14"/>
    </row>
    <row r="58" spans="1:1" s="13" customFormat="1">
      <c r="A58" s="14"/>
    </row>
    <row r="59" spans="1:1" s="13" customFormat="1">
      <c r="A59" s="14"/>
    </row>
    <row r="60" spans="1:1" s="13" customFormat="1">
      <c r="A60" s="14"/>
    </row>
    <row r="61" spans="1:1" s="13" customFormat="1">
      <c r="A61" s="14"/>
    </row>
    <row r="62" spans="1:1" s="13" customFormat="1">
      <c r="A62" s="14"/>
    </row>
    <row r="63" spans="1:1" s="13" customFormat="1">
      <c r="A63" s="14"/>
    </row>
    <row r="64" spans="1:1" s="13" customFormat="1">
      <c r="A64" s="14"/>
    </row>
    <row r="65" spans="1:1" s="13" customFormat="1">
      <c r="A65" s="14"/>
    </row>
    <row r="66" spans="1:1" s="13" customFormat="1">
      <c r="A66" s="14"/>
    </row>
    <row r="67" spans="1:1" s="13" customFormat="1">
      <c r="A67" s="14"/>
    </row>
    <row r="68" spans="1:1" s="13" customFormat="1">
      <c r="A68" s="14"/>
    </row>
    <row r="69" spans="1:1" s="13" customFormat="1">
      <c r="A69" s="14"/>
    </row>
    <row r="70" spans="1:1" s="13" customFormat="1">
      <c r="A70" s="14"/>
    </row>
    <row r="71" spans="1:1" s="13" customFormat="1">
      <c r="A71" s="14"/>
    </row>
    <row r="72" spans="1:1" s="13" customFormat="1">
      <c r="A72" s="14"/>
    </row>
    <row r="73" spans="1:1" s="13" customFormat="1">
      <c r="A73" s="14"/>
    </row>
    <row r="74" spans="1:1" s="13" customFormat="1">
      <c r="A74" s="14"/>
    </row>
    <row r="75" spans="1:1" s="13" customFormat="1">
      <c r="A75" s="14"/>
    </row>
    <row r="76" spans="1:1" s="13" customFormat="1">
      <c r="A76" s="14"/>
    </row>
    <row r="77" spans="1:1" s="13" customFormat="1">
      <c r="A77" s="14"/>
    </row>
    <row r="78" spans="1:1" s="13" customFormat="1">
      <c r="A78" s="14"/>
    </row>
    <row r="79" spans="1:1" s="13" customFormat="1">
      <c r="A79" s="14"/>
    </row>
    <row r="80" spans="1:1" s="13" customFormat="1">
      <c r="A80" s="14"/>
    </row>
    <row r="81" spans="1:1" s="13" customFormat="1">
      <c r="A81" s="14"/>
    </row>
    <row r="82" spans="1:1" s="13" customFormat="1">
      <c r="A82" s="14"/>
    </row>
    <row r="83" spans="1:1" s="13" customFormat="1">
      <c r="A83" s="14"/>
    </row>
    <row r="84" spans="1:1" s="13" customFormat="1">
      <c r="A84" s="14"/>
    </row>
    <row r="85" spans="1:1" s="13" customFormat="1">
      <c r="A85" s="14"/>
    </row>
    <row r="86" spans="1:1" s="13" customFormat="1">
      <c r="A86" s="14"/>
    </row>
    <row r="87" spans="1:1" s="13" customFormat="1">
      <c r="A87" s="14"/>
    </row>
    <row r="88" spans="1:1" s="13" customFormat="1">
      <c r="A88" s="14"/>
    </row>
    <row r="89" spans="1:1" s="13" customFormat="1">
      <c r="A89" s="14"/>
    </row>
    <row r="90" spans="1:1" s="13" customFormat="1">
      <c r="A90" s="14"/>
    </row>
    <row r="91" spans="1:1" s="13" customFormat="1">
      <c r="A91" s="14"/>
    </row>
    <row r="92" spans="1:1" s="13" customFormat="1">
      <c r="A92" s="14"/>
    </row>
    <row r="93" spans="1:1" s="13" customFormat="1">
      <c r="A93" s="14"/>
    </row>
    <row r="94" spans="1:1" s="13" customFormat="1">
      <c r="A94" s="14"/>
    </row>
    <row r="95" spans="1:1" s="13" customFormat="1">
      <c r="A95" s="14"/>
    </row>
    <row r="96" spans="1:1" s="13" customFormat="1">
      <c r="A96" s="14"/>
    </row>
    <row r="97" spans="1:1" s="13" customFormat="1">
      <c r="A97" s="14"/>
    </row>
    <row r="98" spans="1:1" s="13" customFormat="1">
      <c r="A98" s="14"/>
    </row>
    <row r="99" spans="1:1" s="13" customFormat="1">
      <c r="A99" s="14"/>
    </row>
    <row r="100" spans="1:1" s="13" customFormat="1">
      <c r="A100" s="14"/>
    </row>
    <row r="101" spans="1:1" s="13" customFormat="1">
      <c r="A101" s="14"/>
    </row>
    <row r="102" spans="1:1" s="13" customFormat="1">
      <c r="A102" s="14"/>
    </row>
    <row r="103" spans="1:1" s="13" customFormat="1">
      <c r="A103" s="14"/>
    </row>
    <row r="104" spans="1:1" s="13" customFormat="1">
      <c r="A104" s="14"/>
    </row>
    <row r="105" spans="1:1" s="13" customFormat="1">
      <c r="A105" s="14"/>
    </row>
    <row r="106" spans="1:1" s="13" customFormat="1">
      <c r="A106" s="14"/>
    </row>
    <row r="107" spans="1:1" s="13" customFormat="1">
      <c r="A107" s="14"/>
    </row>
    <row r="108" spans="1:1" s="13" customFormat="1">
      <c r="A108" s="14"/>
    </row>
    <row r="109" spans="1:1" s="13" customFormat="1">
      <c r="A109" s="14"/>
    </row>
    <row r="110" spans="1:1" s="13" customFormat="1">
      <c r="A110" s="14"/>
    </row>
    <row r="111" spans="1:1" s="13" customFormat="1">
      <c r="A111" s="14"/>
    </row>
    <row r="112" spans="1:1" s="13" customFormat="1">
      <c r="A112" s="14"/>
    </row>
    <row r="113" spans="1:1" s="13" customFormat="1">
      <c r="A113" s="14"/>
    </row>
    <row r="114" spans="1:1" s="13" customFormat="1">
      <c r="A114" s="14"/>
    </row>
    <row r="115" spans="1:1" s="13" customFormat="1">
      <c r="A115" s="14"/>
    </row>
    <row r="116" spans="1:1" s="13" customFormat="1">
      <c r="A116" s="14"/>
    </row>
    <row r="117" spans="1:1" s="13" customFormat="1">
      <c r="A117" s="14"/>
    </row>
    <row r="118" spans="1:1" s="13" customFormat="1">
      <c r="A118" s="14"/>
    </row>
    <row r="119" spans="1:1" s="13" customFormat="1">
      <c r="A119" s="14"/>
    </row>
    <row r="120" spans="1:1" s="13" customFormat="1">
      <c r="A120" s="14"/>
    </row>
    <row r="121" spans="1:1" s="13" customFormat="1">
      <c r="A121" s="14"/>
    </row>
    <row r="122" spans="1:1" s="13" customFormat="1">
      <c r="A122" s="14"/>
    </row>
    <row r="123" spans="1:1" s="13" customFormat="1">
      <c r="A123" s="14"/>
    </row>
    <row r="124" spans="1:1" s="13" customFormat="1">
      <c r="A124" s="14"/>
    </row>
    <row r="125" spans="1:1" s="13" customFormat="1">
      <c r="A125" s="14"/>
    </row>
    <row r="126" spans="1:1" s="13" customFormat="1">
      <c r="A126" s="14"/>
    </row>
    <row r="127" spans="1:1" s="13" customFormat="1">
      <c r="A127" s="14"/>
    </row>
    <row r="128" spans="1:1" s="13" customFormat="1">
      <c r="A128" s="14"/>
    </row>
    <row r="129" spans="1:1" s="13" customFormat="1">
      <c r="A129" s="14"/>
    </row>
    <row r="130" spans="1:1" s="13" customFormat="1">
      <c r="A130" s="14"/>
    </row>
    <row r="131" spans="1:1" s="13" customFormat="1">
      <c r="A131" s="14"/>
    </row>
    <row r="132" spans="1:1" s="13" customFormat="1">
      <c r="A132" s="14"/>
    </row>
    <row r="133" spans="1:1" s="13" customFormat="1">
      <c r="A133" s="14"/>
    </row>
    <row r="134" spans="1:1" s="13" customFormat="1">
      <c r="A134" s="14"/>
    </row>
    <row r="135" spans="1:1" s="13" customFormat="1">
      <c r="A135" s="14"/>
    </row>
    <row r="136" spans="1:1" s="13" customFormat="1">
      <c r="A136" s="14"/>
    </row>
    <row r="137" spans="1:1" s="13" customFormat="1">
      <c r="A137" s="14"/>
    </row>
    <row r="138" spans="1:1" s="13" customFormat="1">
      <c r="A138" s="14"/>
    </row>
    <row r="139" spans="1:1" s="13" customFormat="1">
      <c r="A139" s="14"/>
    </row>
    <row r="140" spans="1:1" s="13" customFormat="1">
      <c r="A140" s="14"/>
    </row>
    <row r="141" spans="1:1" s="13" customFormat="1">
      <c r="A141" s="14"/>
    </row>
    <row r="142" spans="1:1" s="13" customFormat="1">
      <c r="A142" s="14"/>
    </row>
    <row r="143" spans="1:1" s="13" customFormat="1">
      <c r="A143" s="14"/>
    </row>
    <row r="144" spans="1:1" s="13" customFormat="1">
      <c r="A144" s="14"/>
    </row>
    <row r="145" spans="1:1" s="13" customFormat="1">
      <c r="A145" s="14"/>
    </row>
    <row r="146" spans="1:1" s="13" customFormat="1">
      <c r="A146" s="14"/>
    </row>
    <row r="147" spans="1:1" s="13" customFormat="1">
      <c r="A147" s="14"/>
    </row>
    <row r="148" spans="1:1" s="13" customFormat="1">
      <c r="A148" s="14"/>
    </row>
    <row r="149" spans="1:1" s="13" customFormat="1">
      <c r="A149" s="14"/>
    </row>
    <row r="150" spans="1:1" s="13" customFormat="1">
      <c r="A150" s="14"/>
    </row>
    <row r="151" spans="1:1" s="13" customFormat="1">
      <c r="A151" s="14"/>
    </row>
    <row r="152" spans="1:1" s="13" customFormat="1">
      <c r="A152" s="14"/>
    </row>
    <row r="153" spans="1:1" s="13" customFormat="1">
      <c r="A153" s="14"/>
    </row>
    <row r="154" spans="1:1" s="13" customFormat="1">
      <c r="A154" s="14"/>
    </row>
    <row r="155" spans="1:1" s="13" customFormat="1">
      <c r="A155" s="14"/>
    </row>
    <row r="156" spans="1:1" s="13" customFormat="1">
      <c r="A156" s="14"/>
    </row>
    <row r="157" spans="1:1" s="13" customFormat="1">
      <c r="A157" s="14"/>
    </row>
    <row r="158" spans="1:1" s="13" customFormat="1">
      <c r="A158" s="14"/>
    </row>
    <row r="159" spans="1:1" s="13" customFormat="1">
      <c r="A159" s="14"/>
    </row>
    <row r="160" spans="1:1" s="13" customFormat="1">
      <c r="A160" s="14"/>
    </row>
    <row r="161" spans="1:1" s="13" customFormat="1">
      <c r="A161" s="14"/>
    </row>
    <row r="162" spans="1:1" s="13" customFormat="1">
      <c r="A162" s="14"/>
    </row>
    <row r="163" spans="1:1" s="13" customFormat="1">
      <c r="A163" s="14"/>
    </row>
    <row r="164" spans="1:1" s="13" customFormat="1">
      <c r="A164" s="14"/>
    </row>
    <row r="165" spans="1:1" s="13" customFormat="1">
      <c r="A165" s="14"/>
    </row>
    <row r="166" spans="1:1" s="13" customFormat="1">
      <c r="A166" s="14"/>
    </row>
    <row r="167" spans="1:1" s="13" customFormat="1">
      <c r="A167" s="14"/>
    </row>
    <row r="168" spans="1:1" s="13" customFormat="1">
      <c r="A168" s="14"/>
    </row>
    <row r="169" spans="1:1" s="13" customFormat="1">
      <c r="A169" s="14"/>
    </row>
    <row r="170" spans="1:1" s="13" customFormat="1">
      <c r="A170" s="14"/>
    </row>
    <row r="171" spans="1:1" s="13" customFormat="1">
      <c r="A171" s="14"/>
    </row>
    <row r="172" spans="1:1" s="13" customFormat="1">
      <c r="A172" s="14"/>
    </row>
    <row r="173" spans="1:1" s="13" customFormat="1">
      <c r="A173" s="14"/>
    </row>
    <row r="174" spans="1:1" s="13" customFormat="1">
      <c r="A174" s="14"/>
    </row>
    <row r="175" spans="1:1" s="13" customFormat="1">
      <c r="A175" s="14"/>
    </row>
    <row r="176" spans="1:1" s="13" customFormat="1">
      <c r="A176" s="14"/>
    </row>
    <row r="177" spans="1:1" s="13" customFormat="1">
      <c r="A177" s="14"/>
    </row>
    <row r="178" spans="1:1" s="13" customFormat="1">
      <c r="A178" s="14"/>
    </row>
    <row r="179" spans="1:1" s="13" customFormat="1">
      <c r="A179" s="14"/>
    </row>
    <row r="180" spans="1:1" s="13" customFormat="1">
      <c r="A180" s="14"/>
    </row>
    <row r="181" spans="1:1" s="13" customFormat="1">
      <c r="A181" s="14"/>
    </row>
    <row r="182" spans="1:1" s="13" customFormat="1">
      <c r="A182" s="14"/>
    </row>
    <row r="183" spans="1:1" s="13" customFormat="1">
      <c r="A183" s="14"/>
    </row>
    <row r="184" spans="1:1" s="13" customFormat="1">
      <c r="A184" s="14"/>
    </row>
    <row r="185" spans="1:1" s="13" customFormat="1">
      <c r="A185" s="14"/>
    </row>
    <row r="186" spans="1:1" s="13" customFormat="1">
      <c r="A186" s="14"/>
    </row>
    <row r="187" spans="1:1" s="13" customFormat="1">
      <c r="A187" s="14"/>
    </row>
    <row r="188" spans="1:1" s="13" customFormat="1">
      <c r="A188" s="14"/>
    </row>
    <row r="189" spans="1:1" s="13" customFormat="1">
      <c r="A189" s="14"/>
    </row>
    <row r="190" spans="1:1" s="13" customFormat="1">
      <c r="A190" s="14"/>
    </row>
    <row r="191" spans="1:1" s="13" customFormat="1">
      <c r="A191" s="14"/>
    </row>
    <row r="192" spans="1:1" s="13" customFormat="1">
      <c r="A192" s="14"/>
    </row>
    <row r="193" spans="1:1" s="13" customFormat="1">
      <c r="A193" s="14"/>
    </row>
    <row r="194" spans="1:1" s="13" customFormat="1">
      <c r="A194" s="14"/>
    </row>
    <row r="195" spans="1:1" s="13" customFormat="1">
      <c r="A195" s="14"/>
    </row>
    <row r="196" spans="1:1" s="13" customFormat="1">
      <c r="A196" s="14"/>
    </row>
    <row r="197" spans="1:1" s="13" customFormat="1">
      <c r="A197" s="14"/>
    </row>
    <row r="198" spans="1:1" s="13" customFormat="1">
      <c r="A198" s="14"/>
    </row>
    <row r="199" spans="1:1" s="13" customFormat="1">
      <c r="A199" s="14"/>
    </row>
    <row r="200" spans="1:1" s="13" customFormat="1">
      <c r="A200" s="14"/>
    </row>
    <row r="201" spans="1:1" s="13" customFormat="1">
      <c r="A201" s="14"/>
    </row>
    <row r="202" spans="1:1" s="13" customFormat="1">
      <c r="A202" s="14"/>
    </row>
    <row r="203" spans="1:1" s="13" customFormat="1">
      <c r="A203" s="14"/>
    </row>
    <row r="204" spans="1:1" s="13" customFormat="1">
      <c r="A204" s="14"/>
    </row>
    <row r="205" spans="1:1" s="13" customFormat="1">
      <c r="A205" s="14"/>
    </row>
    <row r="206" spans="1:1" s="13" customFormat="1">
      <c r="A206" s="14"/>
    </row>
    <row r="207" spans="1:1" s="13" customFormat="1">
      <c r="A207" s="14"/>
    </row>
    <row r="208" spans="1:1" s="13" customFormat="1">
      <c r="A208" s="14"/>
    </row>
    <row r="209" spans="1:1" s="13" customFormat="1">
      <c r="A209" s="14"/>
    </row>
    <row r="210" spans="1:1" s="13" customFormat="1">
      <c r="A210" s="14"/>
    </row>
    <row r="211" spans="1:1" s="13" customFormat="1">
      <c r="A211" s="14"/>
    </row>
    <row r="212" spans="1:1" s="13" customFormat="1">
      <c r="A212" s="14"/>
    </row>
    <row r="213" spans="1:1" s="13" customFormat="1">
      <c r="A213" s="14"/>
    </row>
    <row r="214" spans="1:1" s="13" customFormat="1">
      <c r="A214" s="14"/>
    </row>
    <row r="215" spans="1:1" s="13" customFormat="1">
      <c r="A215" s="14"/>
    </row>
    <row r="216" spans="1:1" s="13" customFormat="1">
      <c r="A216" s="14"/>
    </row>
    <row r="217" spans="1:1" s="13" customFormat="1">
      <c r="A217" s="14"/>
    </row>
    <row r="218" spans="1:1" s="13" customFormat="1">
      <c r="A218" s="14"/>
    </row>
    <row r="219" spans="1:1" s="13" customFormat="1">
      <c r="A219" s="14"/>
    </row>
    <row r="220" spans="1:1" s="13" customFormat="1">
      <c r="A220" s="14"/>
    </row>
    <row r="221" spans="1:1" s="13" customFormat="1">
      <c r="A221" s="14"/>
    </row>
    <row r="222" spans="1:1" s="13" customFormat="1">
      <c r="A222" s="14"/>
    </row>
    <row r="223" spans="1:1" s="13" customFormat="1">
      <c r="A223" s="14"/>
    </row>
    <row r="224" spans="1:1" s="13" customFormat="1">
      <c r="A224" s="14"/>
    </row>
    <row r="225" spans="1:1" s="13" customFormat="1">
      <c r="A225" s="14"/>
    </row>
    <row r="226" spans="1:1" s="13" customFormat="1">
      <c r="A226" s="14"/>
    </row>
    <row r="227" spans="1:1" s="13" customFormat="1">
      <c r="A227" s="14"/>
    </row>
    <row r="228" spans="1:1" s="13" customFormat="1">
      <c r="A228" s="14"/>
    </row>
    <row r="229" spans="1:1" s="13" customFormat="1">
      <c r="A229" s="14"/>
    </row>
    <row r="230" spans="1:1" s="13" customFormat="1">
      <c r="A230" s="14"/>
    </row>
    <row r="231" spans="1:1" s="13" customFormat="1">
      <c r="A231" s="14"/>
    </row>
    <row r="232" spans="1:1" s="13" customFormat="1">
      <c r="A232" s="14"/>
    </row>
    <row r="233" spans="1:1" s="13" customFormat="1">
      <c r="A233" s="14"/>
    </row>
    <row r="234" spans="1:1" s="13" customFormat="1">
      <c r="A234" s="14"/>
    </row>
    <row r="235" spans="1:1" s="13" customFormat="1">
      <c r="A235" s="14"/>
    </row>
    <row r="236" spans="1:1" s="13" customFormat="1">
      <c r="A236" s="14"/>
    </row>
    <row r="237" spans="1:1" s="13" customFormat="1">
      <c r="A237" s="14"/>
    </row>
    <row r="238" spans="1:1" s="13" customFormat="1">
      <c r="A238" s="14"/>
    </row>
    <row r="239" spans="1:1" s="13" customFormat="1">
      <c r="A239" s="14"/>
    </row>
    <row r="240" spans="1:1" s="13" customFormat="1">
      <c r="A240" s="14"/>
    </row>
    <row r="241" spans="1:1" s="13" customFormat="1">
      <c r="A241" s="14"/>
    </row>
    <row r="242" spans="1:1" s="13" customFormat="1">
      <c r="A242" s="14"/>
    </row>
    <row r="243" spans="1:1" s="13" customFormat="1">
      <c r="A243" s="14"/>
    </row>
    <row r="244" spans="1:1" s="13" customFormat="1">
      <c r="A244" s="14"/>
    </row>
    <row r="245" spans="1:1" s="13" customFormat="1">
      <c r="A245" s="14"/>
    </row>
    <row r="246" spans="1:1" s="13" customFormat="1">
      <c r="A246" s="14"/>
    </row>
    <row r="247" spans="1:1" s="13" customFormat="1">
      <c r="A247" s="14"/>
    </row>
    <row r="248" spans="1:1" s="13" customFormat="1">
      <c r="A248" s="14"/>
    </row>
    <row r="249" spans="1:1" s="13" customFormat="1">
      <c r="A249" s="14"/>
    </row>
    <row r="250" spans="1:1" s="13" customFormat="1">
      <c r="A250" s="14"/>
    </row>
    <row r="251" spans="1:1" s="13" customFormat="1">
      <c r="A251" s="14"/>
    </row>
    <row r="252" spans="1:1" s="13" customFormat="1">
      <c r="A252" s="14"/>
    </row>
    <row r="253" spans="1:1" s="13" customFormat="1">
      <c r="A253" s="14"/>
    </row>
    <row r="254" spans="1:1" s="13" customFormat="1">
      <c r="A254" s="14"/>
    </row>
    <row r="255" spans="1:1" s="13" customFormat="1">
      <c r="A255" s="14"/>
    </row>
    <row r="256" spans="1:1" s="13" customFormat="1">
      <c r="A256" s="14"/>
    </row>
    <row r="257" spans="1:1" s="13" customFormat="1">
      <c r="A257" s="14"/>
    </row>
    <row r="258" spans="1:1" s="13" customFormat="1">
      <c r="A258" s="14"/>
    </row>
    <row r="259" spans="1:1" s="13" customFormat="1">
      <c r="A259" s="14"/>
    </row>
    <row r="260" spans="1:1" s="13" customFormat="1">
      <c r="A260" s="14"/>
    </row>
    <row r="261" spans="1:1" s="13" customFormat="1">
      <c r="A261" s="14"/>
    </row>
    <row r="262" spans="1:1" s="13" customFormat="1">
      <c r="A262" s="14"/>
    </row>
    <row r="263" spans="1:1" s="13" customFormat="1">
      <c r="A263" s="14"/>
    </row>
    <row r="264" spans="1:1" s="13" customFormat="1">
      <c r="A264" s="14"/>
    </row>
    <row r="265" spans="1:1" s="13" customFormat="1">
      <c r="A265" s="14"/>
    </row>
    <row r="266" spans="1:1" s="13" customFormat="1">
      <c r="A266" s="14"/>
    </row>
    <row r="267" spans="1:1" s="13" customFormat="1">
      <c r="A267" s="14"/>
    </row>
    <row r="268" spans="1:1" s="13" customFormat="1">
      <c r="A268" s="14"/>
    </row>
    <row r="269" spans="1:1" s="13" customFormat="1">
      <c r="A269" s="14"/>
    </row>
    <row r="270" spans="1:1" s="13" customFormat="1">
      <c r="A270" s="14"/>
    </row>
    <row r="271" spans="1:1" s="13" customFormat="1">
      <c r="A271" s="14"/>
    </row>
    <row r="272" spans="1:1" s="13" customFormat="1">
      <c r="A272" s="14"/>
    </row>
    <row r="273" spans="1:1" s="13" customFormat="1">
      <c r="A273" s="14"/>
    </row>
    <row r="274" spans="1:1" s="13" customFormat="1">
      <c r="A274" s="14"/>
    </row>
    <row r="275" spans="1:1" s="13" customFormat="1">
      <c r="A275" s="14"/>
    </row>
    <row r="276" spans="1:1" s="13" customFormat="1">
      <c r="A276" s="14"/>
    </row>
    <row r="277" spans="1:1" s="13" customFormat="1">
      <c r="A277" s="14"/>
    </row>
    <row r="278" spans="1:1" s="13" customFormat="1">
      <c r="A278" s="14"/>
    </row>
    <row r="279" spans="1:1" s="13" customFormat="1">
      <c r="A279" s="14"/>
    </row>
    <row r="280" spans="1:1" s="13" customFormat="1">
      <c r="A280" s="14"/>
    </row>
    <row r="281" spans="1:1" s="13" customFormat="1">
      <c r="A281" s="14"/>
    </row>
    <row r="282" spans="1:1" s="13" customFormat="1">
      <c r="A282" s="14"/>
    </row>
    <row r="283" spans="1:1" s="13" customFormat="1">
      <c r="A283" s="14"/>
    </row>
    <row r="284" spans="1:1" s="13" customFormat="1">
      <c r="A284" s="14"/>
    </row>
    <row r="285" spans="1:1" s="13" customFormat="1">
      <c r="A285" s="14"/>
    </row>
    <row r="286" spans="1:1" s="13" customFormat="1">
      <c r="A286" s="14"/>
    </row>
    <row r="287" spans="1:1" s="13" customFormat="1">
      <c r="A287" s="14"/>
    </row>
    <row r="288" spans="1:1" s="13" customFormat="1">
      <c r="A288" s="14"/>
    </row>
    <row r="289" spans="1:1" s="13" customFormat="1">
      <c r="A289" s="14"/>
    </row>
    <row r="290" spans="1:1" s="13" customFormat="1">
      <c r="A290" s="14"/>
    </row>
    <row r="291" spans="1:1" s="13" customFormat="1">
      <c r="A291" s="14"/>
    </row>
    <row r="292" spans="1:1" s="13" customFormat="1">
      <c r="A292" s="14"/>
    </row>
    <row r="293" spans="1:1" s="13" customFormat="1">
      <c r="A293" s="14"/>
    </row>
    <row r="294" spans="1:1" s="13" customFormat="1">
      <c r="A294" s="14"/>
    </row>
    <row r="295" spans="1:1" s="13" customFormat="1">
      <c r="A295" s="14"/>
    </row>
    <row r="296" spans="1:1" s="13" customFormat="1">
      <c r="A296" s="14"/>
    </row>
    <row r="297" spans="1:1" s="13" customFormat="1">
      <c r="A297" s="14"/>
    </row>
    <row r="298" spans="1:1" s="13" customFormat="1">
      <c r="A298" s="14"/>
    </row>
    <row r="299" spans="1:1" s="13" customFormat="1">
      <c r="A299" s="14"/>
    </row>
    <row r="300" spans="1:1" s="13" customFormat="1">
      <c r="A300" s="14"/>
    </row>
    <row r="301" spans="1:1" s="13" customFormat="1">
      <c r="A301" s="14"/>
    </row>
    <row r="302" spans="1:1" s="13" customFormat="1">
      <c r="A302" s="14"/>
    </row>
    <row r="303" spans="1:1" s="13" customFormat="1">
      <c r="A303" s="14"/>
    </row>
    <row r="304" spans="1:1" s="13" customFormat="1">
      <c r="A304" s="14"/>
    </row>
    <row r="305" spans="1:1" s="13" customFormat="1">
      <c r="A305" s="14"/>
    </row>
    <row r="306" spans="1:1" s="13" customFormat="1">
      <c r="A306" s="14"/>
    </row>
    <row r="307" spans="1:1" s="13" customFormat="1">
      <c r="A307" s="14"/>
    </row>
    <row r="308" spans="1:1" s="13" customFormat="1">
      <c r="A308" s="14"/>
    </row>
    <row r="309" spans="1:1" s="13" customFormat="1">
      <c r="A309" s="14"/>
    </row>
    <row r="310" spans="1:1" s="13" customFormat="1">
      <c r="A310" s="14"/>
    </row>
    <row r="311" spans="1:1" s="13" customFormat="1">
      <c r="A311" s="14"/>
    </row>
    <row r="312" spans="1:1" s="13" customFormat="1">
      <c r="A312" s="14"/>
    </row>
    <row r="313" spans="1:1" s="13" customFormat="1">
      <c r="A313" s="14"/>
    </row>
    <row r="314" spans="1:1" s="13" customFormat="1">
      <c r="A314" s="14"/>
    </row>
    <row r="315" spans="1:1" s="13" customFormat="1">
      <c r="A315" s="14"/>
    </row>
    <row r="316" spans="1:1" s="13" customFormat="1">
      <c r="A316" s="14"/>
    </row>
    <row r="317" spans="1:1" s="13" customFormat="1">
      <c r="A317" s="14"/>
    </row>
    <row r="318" spans="1:1" s="13" customFormat="1">
      <c r="A318" s="14"/>
    </row>
    <row r="319" spans="1:1" s="13" customFormat="1">
      <c r="A319" s="14"/>
    </row>
    <row r="320" spans="1:1" s="13" customFormat="1">
      <c r="A320" s="14"/>
    </row>
    <row r="321" spans="1:1" s="13" customFormat="1">
      <c r="A321" s="14"/>
    </row>
    <row r="322" spans="1:1" s="13" customFormat="1">
      <c r="A322" s="14"/>
    </row>
    <row r="323" spans="1:1" s="13" customFormat="1">
      <c r="A323" s="14"/>
    </row>
    <row r="324" spans="1:1" s="13" customFormat="1">
      <c r="A324" s="14"/>
    </row>
    <row r="325" spans="1:1" s="13" customFormat="1">
      <c r="A325" s="14"/>
    </row>
    <row r="326" spans="1:1" s="13" customFormat="1">
      <c r="A326" s="14"/>
    </row>
    <row r="327" spans="1:1" s="13" customFormat="1">
      <c r="A327" s="14"/>
    </row>
    <row r="328" spans="1:1" s="13" customFormat="1">
      <c r="A328" s="14"/>
    </row>
    <row r="329" spans="1:1" s="13" customFormat="1">
      <c r="A329" s="14"/>
    </row>
    <row r="330" spans="1:1" s="13" customFormat="1">
      <c r="A330" s="14"/>
    </row>
    <row r="331" spans="1:1" s="13" customFormat="1">
      <c r="A331" s="14"/>
    </row>
    <row r="332" spans="1:1" s="13" customFormat="1">
      <c r="A332" s="14"/>
    </row>
    <row r="333" spans="1:1" s="13" customFormat="1">
      <c r="A333" s="14"/>
    </row>
    <row r="334" spans="1:1" s="13" customFormat="1">
      <c r="A334" s="14"/>
    </row>
    <row r="335" spans="1:1" s="13" customFormat="1">
      <c r="A335" s="14"/>
    </row>
    <row r="336" spans="1:1" s="13" customFormat="1">
      <c r="A336" s="14"/>
    </row>
    <row r="337" spans="1:1" s="13" customFormat="1">
      <c r="A337" s="14"/>
    </row>
    <row r="338" spans="1:1" s="13" customFormat="1">
      <c r="A338" s="14"/>
    </row>
    <row r="339" spans="1:1" s="13" customFormat="1">
      <c r="A339" s="14"/>
    </row>
    <row r="340" spans="1:1" s="13" customFormat="1">
      <c r="A340" s="14"/>
    </row>
    <row r="341" spans="1:1" s="13" customFormat="1">
      <c r="A341" s="14"/>
    </row>
    <row r="342" spans="1:1" s="13" customFormat="1">
      <c r="A342" s="14"/>
    </row>
    <row r="343" spans="1:1" s="13" customFormat="1">
      <c r="A343" s="14"/>
    </row>
    <row r="344" spans="1:1" s="13" customFormat="1">
      <c r="A344" s="14"/>
    </row>
    <row r="345" spans="1:1" s="13" customFormat="1">
      <c r="A345" s="14"/>
    </row>
    <row r="346" spans="1:1" s="13" customFormat="1">
      <c r="A346" s="14"/>
    </row>
    <row r="347" spans="1:1" s="13" customFormat="1">
      <c r="A347" s="14"/>
    </row>
    <row r="348" spans="1:1" s="13" customFormat="1">
      <c r="A348" s="14"/>
    </row>
    <row r="349" spans="1:1" s="13" customFormat="1">
      <c r="A349" s="14"/>
    </row>
    <row r="350" spans="1:1" s="13" customFormat="1">
      <c r="A350" s="14"/>
    </row>
    <row r="351" spans="1:1" s="13" customFormat="1">
      <c r="A351" s="14"/>
    </row>
    <row r="352" spans="1:1" s="13" customFormat="1">
      <c r="A352" s="14"/>
    </row>
    <row r="353" spans="1:1" s="13" customFormat="1">
      <c r="A353" s="14"/>
    </row>
    <row r="354" spans="1:1" s="13" customFormat="1">
      <c r="A354" s="14"/>
    </row>
    <row r="355" spans="1:1" s="13" customFormat="1">
      <c r="A355" s="14"/>
    </row>
    <row r="356" spans="1:1" s="13" customFormat="1">
      <c r="A356" s="14"/>
    </row>
    <row r="357" spans="1:1" s="13" customFormat="1">
      <c r="A357" s="14"/>
    </row>
    <row r="358" spans="1:1" s="13" customFormat="1">
      <c r="A358" s="14"/>
    </row>
    <row r="359" spans="1:1" s="13" customFormat="1">
      <c r="A359" s="14"/>
    </row>
    <row r="360" spans="1:1" s="13" customFormat="1">
      <c r="A360" s="14"/>
    </row>
    <row r="361" spans="1:1" s="13" customFormat="1">
      <c r="A361" s="14"/>
    </row>
    <row r="362" spans="1:1" s="13" customFormat="1">
      <c r="A362" s="14"/>
    </row>
    <row r="363" spans="1:1" s="13" customFormat="1">
      <c r="A363" s="14"/>
    </row>
    <row r="364" spans="1:1" s="13" customFormat="1">
      <c r="A364" s="14"/>
    </row>
  </sheetData>
  <phoneticPr fontId="39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99"/>
  <sheetViews>
    <sheetView workbookViewId="0">
      <selection activeCell="A62" sqref="A62"/>
    </sheetView>
  </sheetViews>
  <sheetFormatPr defaultColWidth="9.1796875" defaultRowHeight="12.5"/>
  <cols>
    <col min="1" max="1" width="23.1796875" style="1" bestFit="1" customWidth="1"/>
    <col min="2" max="2" width="9.1796875" style="1"/>
    <col min="3" max="40" width="9.1796875" style="7"/>
    <col min="41" max="16384" width="9.1796875" style="1"/>
  </cols>
  <sheetData>
    <row r="1" spans="1:2">
      <c r="A1" s="1" t="s">
        <v>1</v>
      </c>
      <c r="B1" s="1">
        <v>1</v>
      </c>
    </row>
    <row r="2" spans="1:2">
      <c r="A2" s="1" t="s">
        <v>2</v>
      </c>
      <c r="B2" s="1">
        <v>2</v>
      </c>
    </row>
    <row r="3" spans="1:2">
      <c r="A3" s="1" t="s">
        <v>4</v>
      </c>
      <c r="B3" s="1">
        <v>3</v>
      </c>
    </row>
    <row r="4" spans="1:2">
      <c r="A4" s="1" t="s">
        <v>24</v>
      </c>
      <c r="B4" s="1">
        <v>4</v>
      </c>
    </row>
    <row r="5" spans="1:2">
      <c r="A5" s="1" t="s">
        <v>5</v>
      </c>
      <c r="B5" s="1">
        <v>5</v>
      </c>
    </row>
    <row r="6" spans="1:2">
      <c r="A6" s="1" t="s">
        <v>27</v>
      </c>
      <c r="B6" s="1">
        <v>6</v>
      </c>
    </row>
    <row r="7" spans="1:2">
      <c r="A7" s="1" t="s">
        <v>26</v>
      </c>
      <c r="B7" s="1">
        <v>7</v>
      </c>
    </row>
    <row r="8" spans="1:2">
      <c r="A8" s="1" t="s">
        <v>6</v>
      </c>
      <c r="B8" s="1">
        <v>8</v>
      </c>
    </row>
    <row r="9" spans="1:2">
      <c r="A9" s="1" t="s">
        <v>8</v>
      </c>
      <c r="B9" s="1">
        <v>9</v>
      </c>
    </row>
    <row r="10" spans="1:2">
      <c r="A10" s="1" t="s">
        <v>9</v>
      </c>
      <c r="B10" s="1">
        <v>10</v>
      </c>
    </row>
    <row r="11" spans="1:2">
      <c r="A11" s="1" t="s">
        <v>7</v>
      </c>
      <c r="B11" s="1">
        <v>11</v>
      </c>
    </row>
    <row r="12" spans="1:2">
      <c r="A12" s="1" t="s">
        <v>10</v>
      </c>
      <c r="B12" s="1">
        <v>12</v>
      </c>
    </row>
    <row r="13" spans="1:2">
      <c r="A13" s="1" t="s">
        <v>25</v>
      </c>
      <c r="B13" s="1">
        <v>13</v>
      </c>
    </row>
    <row r="14" spans="1:2">
      <c r="A14" s="1" t="s">
        <v>28</v>
      </c>
      <c r="B14" s="1">
        <v>14</v>
      </c>
    </row>
    <row r="15" spans="1:2">
      <c r="A15" s="1" t="s">
        <v>29</v>
      </c>
      <c r="B15" s="1">
        <v>15</v>
      </c>
    </row>
    <row r="16" spans="1:2">
      <c r="B16" s="1">
        <v>16</v>
      </c>
    </row>
    <row r="17" spans="1:2">
      <c r="B17" s="1">
        <v>17</v>
      </c>
    </row>
    <row r="18" spans="1:2">
      <c r="B18" s="1">
        <v>18</v>
      </c>
    </row>
    <row r="19" spans="1:2">
      <c r="B19" s="1">
        <v>19</v>
      </c>
    </row>
    <row r="20" spans="1:2" ht="13" thickBot="1">
      <c r="A20" s="8"/>
      <c r="B20" s="8">
        <v>20</v>
      </c>
    </row>
    <row r="21" spans="1:2">
      <c r="A21" s="1" t="s">
        <v>32</v>
      </c>
      <c r="B21" s="1">
        <v>21</v>
      </c>
    </row>
    <row r="22" spans="1:2">
      <c r="A22" s="1" t="s">
        <v>33</v>
      </c>
      <c r="B22" s="1">
        <v>22</v>
      </c>
    </row>
    <row r="23" spans="1:2">
      <c r="A23" s="1" t="s">
        <v>34</v>
      </c>
      <c r="B23" s="1">
        <v>23</v>
      </c>
    </row>
    <row r="24" spans="1:2">
      <c r="A24" s="1" t="s">
        <v>35</v>
      </c>
      <c r="B24" s="1">
        <v>24</v>
      </c>
    </row>
    <row r="25" spans="1:2">
      <c r="A25" s="1" t="s">
        <v>17</v>
      </c>
      <c r="B25" s="1">
        <v>25</v>
      </c>
    </row>
    <row r="26" spans="1:2">
      <c r="A26" s="1" t="s">
        <v>22</v>
      </c>
      <c r="B26" s="1">
        <v>26</v>
      </c>
    </row>
    <row r="27" spans="1:2">
      <c r="A27" s="1" t="s">
        <v>31</v>
      </c>
      <c r="B27" s="1">
        <v>27</v>
      </c>
    </row>
    <row r="28" spans="1:2">
      <c r="A28" s="1" t="s">
        <v>20</v>
      </c>
      <c r="B28" s="1">
        <v>28</v>
      </c>
    </row>
    <row r="29" spans="1:2">
      <c r="A29" s="1" t="s">
        <v>19</v>
      </c>
      <c r="B29" s="1">
        <v>29</v>
      </c>
    </row>
    <row r="30" spans="1:2">
      <c r="A30" s="1" t="s">
        <v>30</v>
      </c>
      <c r="B30" s="1">
        <v>30</v>
      </c>
    </row>
    <row r="31" spans="1:2">
      <c r="A31" s="1" t="s">
        <v>18</v>
      </c>
      <c r="B31" s="1">
        <v>31</v>
      </c>
    </row>
    <row r="32" spans="1:2">
      <c r="A32" s="1" t="s">
        <v>23</v>
      </c>
      <c r="B32" s="1">
        <v>32</v>
      </c>
    </row>
    <row r="33" spans="1:2">
      <c r="A33" s="1" t="s">
        <v>21</v>
      </c>
      <c r="B33" s="1">
        <v>33</v>
      </c>
    </row>
    <row r="34" spans="1:2">
      <c r="A34" s="1" t="s">
        <v>36</v>
      </c>
      <c r="B34" s="1">
        <v>34</v>
      </c>
    </row>
    <row r="35" spans="1:2">
      <c r="A35" s="1" t="s">
        <v>40</v>
      </c>
      <c r="B35" s="1">
        <v>35</v>
      </c>
    </row>
    <row r="36" spans="1:2">
      <c r="B36" s="1">
        <v>36</v>
      </c>
    </row>
    <row r="37" spans="1:2">
      <c r="B37" s="1">
        <v>37</v>
      </c>
    </row>
    <row r="38" spans="1:2">
      <c r="B38" s="1">
        <v>38</v>
      </c>
    </row>
    <row r="39" spans="1:2">
      <c r="B39" s="1">
        <v>39</v>
      </c>
    </row>
    <row r="40" spans="1:2">
      <c r="B40" s="1">
        <v>40</v>
      </c>
    </row>
    <row r="41" spans="1:2">
      <c r="B41" s="1">
        <v>41</v>
      </c>
    </row>
    <row r="42" spans="1:2">
      <c r="B42" s="1">
        <v>42</v>
      </c>
    </row>
    <row r="43" spans="1:2">
      <c r="B43" s="1">
        <v>43</v>
      </c>
    </row>
    <row r="44" spans="1:2">
      <c r="B44" s="1">
        <v>44</v>
      </c>
    </row>
    <row r="45" spans="1:2">
      <c r="B45" s="1">
        <v>45</v>
      </c>
    </row>
    <row r="46" spans="1:2">
      <c r="B46" s="1">
        <v>46</v>
      </c>
    </row>
    <row r="47" spans="1:2">
      <c r="B47" s="1">
        <v>47</v>
      </c>
    </row>
    <row r="48" spans="1:2">
      <c r="B48" s="1">
        <v>48</v>
      </c>
    </row>
    <row r="49" spans="1:2">
      <c r="B49" s="1">
        <v>49</v>
      </c>
    </row>
    <row r="50" spans="1:2">
      <c r="A50" s="1" t="s">
        <v>11</v>
      </c>
      <c r="B50" s="1">
        <v>50</v>
      </c>
    </row>
    <row r="51" spans="1:2">
      <c r="A51" s="1" t="s">
        <v>12</v>
      </c>
      <c r="B51" s="1">
        <v>51</v>
      </c>
    </row>
    <row r="52" spans="1:2">
      <c r="A52" s="1" t="s">
        <v>13</v>
      </c>
      <c r="B52" s="1">
        <v>52</v>
      </c>
    </row>
    <row r="53" spans="1:2">
      <c r="A53" s="1" t="s">
        <v>15</v>
      </c>
      <c r="B53" s="1">
        <v>53</v>
      </c>
    </row>
    <row r="54" spans="1:2">
      <c r="A54" s="1" t="s">
        <v>14</v>
      </c>
      <c r="B54" s="1">
        <v>54</v>
      </c>
    </row>
    <row r="55" spans="1:2">
      <c r="A55" s="1" t="s">
        <v>16</v>
      </c>
      <c r="B55" s="1">
        <v>55</v>
      </c>
    </row>
    <row r="56" spans="1:2">
      <c r="B56" s="1">
        <v>56</v>
      </c>
    </row>
    <row r="57" spans="1:2">
      <c r="B57" s="1">
        <v>57</v>
      </c>
    </row>
    <row r="58" spans="1:2">
      <c r="B58" s="1">
        <v>58</v>
      </c>
    </row>
    <row r="59" spans="1:2">
      <c r="B59" s="1">
        <v>59</v>
      </c>
    </row>
    <row r="60" spans="1:2">
      <c r="B60" s="1">
        <v>60</v>
      </c>
    </row>
    <row r="61" spans="1:2">
      <c r="B61" s="1">
        <v>61</v>
      </c>
    </row>
    <row r="62" spans="1:2">
      <c r="B62" s="1">
        <v>62</v>
      </c>
    </row>
    <row r="63" spans="1:2">
      <c r="B63" s="1">
        <v>63</v>
      </c>
    </row>
    <row r="64" spans="1:2">
      <c r="B64" s="1">
        <v>64</v>
      </c>
    </row>
    <row r="65" spans="2:2">
      <c r="B65" s="1">
        <v>65</v>
      </c>
    </row>
    <row r="66" spans="2:2">
      <c r="B66" s="1">
        <v>66</v>
      </c>
    </row>
    <row r="67" spans="2:2">
      <c r="B67" s="1">
        <v>67</v>
      </c>
    </row>
    <row r="68" spans="2:2">
      <c r="B68" s="1">
        <v>68</v>
      </c>
    </row>
    <row r="69" spans="2:2">
      <c r="B69" s="1">
        <v>69</v>
      </c>
    </row>
    <row r="70" spans="2:2">
      <c r="B70" s="1">
        <v>70</v>
      </c>
    </row>
    <row r="71" spans="2:2">
      <c r="B71" s="1">
        <v>71</v>
      </c>
    </row>
    <row r="72" spans="2:2">
      <c r="B72" s="1">
        <v>72</v>
      </c>
    </row>
    <row r="73" spans="2:2">
      <c r="B73" s="1">
        <v>73</v>
      </c>
    </row>
    <row r="74" spans="2:2">
      <c r="B74" s="1">
        <v>74</v>
      </c>
    </row>
    <row r="75" spans="2:2">
      <c r="B75" s="1">
        <v>75</v>
      </c>
    </row>
    <row r="76" spans="2:2">
      <c r="B76" s="1">
        <v>76</v>
      </c>
    </row>
    <row r="77" spans="2:2">
      <c r="B77" s="1">
        <v>77</v>
      </c>
    </row>
    <row r="78" spans="2:2">
      <c r="B78" s="1">
        <v>78</v>
      </c>
    </row>
    <row r="79" spans="2:2">
      <c r="B79" s="1">
        <v>79</v>
      </c>
    </row>
    <row r="80" spans="2:2">
      <c r="B80" s="1">
        <v>80</v>
      </c>
    </row>
    <row r="81" spans="2:2">
      <c r="B81" s="1">
        <v>81</v>
      </c>
    </row>
    <row r="82" spans="2:2">
      <c r="B82" s="1">
        <v>82</v>
      </c>
    </row>
    <row r="83" spans="2:2">
      <c r="B83" s="1">
        <v>83</v>
      </c>
    </row>
    <row r="84" spans="2:2">
      <c r="B84" s="1">
        <v>84</v>
      </c>
    </row>
    <row r="85" spans="2:2">
      <c r="B85" s="1">
        <v>85</v>
      </c>
    </row>
    <row r="86" spans="2:2">
      <c r="B86" s="1">
        <v>86</v>
      </c>
    </row>
    <row r="87" spans="2:2">
      <c r="B87" s="1">
        <v>87</v>
      </c>
    </row>
    <row r="88" spans="2:2">
      <c r="B88" s="1">
        <v>88</v>
      </c>
    </row>
    <row r="89" spans="2:2">
      <c r="B89" s="1">
        <v>89</v>
      </c>
    </row>
    <row r="90" spans="2:2">
      <c r="B90" s="1">
        <v>90</v>
      </c>
    </row>
    <row r="91" spans="2:2">
      <c r="B91" s="1">
        <v>91</v>
      </c>
    </row>
    <row r="92" spans="2:2">
      <c r="B92" s="1">
        <v>92</v>
      </c>
    </row>
    <row r="93" spans="2:2">
      <c r="B93" s="1">
        <v>93</v>
      </c>
    </row>
    <row r="94" spans="2:2">
      <c r="B94" s="1">
        <v>94</v>
      </c>
    </row>
    <row r="95" spans="2:2">
      <c r="B95" s="1">
        <v>95</v>
      </c>
    </row>
    <row r="96" spans="2:2">
      <c r="B96" s="1">
        <v>96</v>
      </c>
    </row>
    <row r="97" spans="2:2">
      <c r="B97" s="1">
        <v>97</v>
      </c>
    </row>
    <row r="98" spans="2:2">
      <c r="B98" s="1">
        <v>98</v>
      </c>
    </row>
    <row r="99" spans="2:2">
      <c r="B99" s="1">
        <v>99</v>
      </c>
    </row>
  </sheetData>
  <phoneticPr fontId="3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7FA8-4B5E-4075-8170-0F6296848497}">
  <dimension ref="A1:J74"/>
  <sheetViews>
    <sheetView topLeftCell="A16" workbookViewId="0">
      <selection activeCell="G23" sqref="G23"/>
    </sheetView>
  </sheetViews>
  <sheetFormatPr defaultRowHeight="14.5"/>
  <cols>
    <col min="1" max="1" width="31.7265625" style="17" bestFit="1" customWidth="1"/>
    <col min="2" max="2" width="8.7265625" style="31" bestFit="1" customWidth="1"/>
    <col min="3" max="3" width="3.54296875" style="57" bestFit="1" customWidth="1"/>
    <col min="4" max="5" width="7.1796875" customWidth="1"/>
  </cols>
  <sheetData>
    <row r="1" spans="1:10" s="41" customFormat="1" ht="15">
      <c r="A1" s="40" t="s">
        <v>0</v>
      </c>
      <c r="B1" s="44" t="s">
        <v>99</v>
      </c>
      <c r="C1" s="50" t="s">
        <v>84</v>
      </c>
      <c r="D1" s="42" t="s">
        <v>106</v>
      </c>
      <c r="E1" s="42" t="s">
        <v>85</v>
      </c>
      <c r="F1" s="43"/>
      <c r="G1" s="43"/>
      <c r="J1" s="43"/>
    </row>
    <row r="2" spans="1:10" s="38" customFormat="1" ht="15">
      <c r="A2" s="35" t="s">
        <v>59</v>
      </c>
      <c r="B2" s="36"/>
      <c r="C2" s="51"/>
      <c r="D2" s="37"/>
      <c r="E2" s="37"/>
    </row>
    <row r="3" spans="1:10" s="1" customFormat="1" ht="12.5">
      <c r="A3" s="22" t="s">
        <v>51</v>
      </c>
      <c r="B3" s="27" t="s">
        <v>43</v>
      </c>
      <c r="C3" s="52" t="s">
        <v>57</v>
      </c>
      <c r="D3" s="16"/>
      <c r="E3" s="16">
        <v>1000</v>
      </c>
    </row>
    <row r="4" spans="1:10" s="1" customFormat="1" ht="12.5">
      <c r="A4" s="18" t="s">
        <v>52</v>
      </c>
      <c r="B4" s="27" t="s">
        <v>43</v>
      </c>
      <c r="C4" s="53"/>
      <c r="D4" s="16"/>
      <c r="E4" s="16">
        <f>E3*'HIDDEN - Assumptions'!C6</f>
        <v>150</v>
      </c>
    </row>
    <row r="5" spans="1:10" s="38" customFormat="1" ht="15">
      <c r="A5" s="35" t="s">
        <v>60</v>
      </c>
      <c r="B5" s="36"/>
      <c r="C5" s="51"/>
      <c r="D5" s="37"/>
      <c r="E5" s="37"/>
    </row>
    <row r="6" spans="1:10" s="1" customFormat="1" ht="12.5">
      <c r="A6" s="18" t="s">
        <v>53</v>
      </c>
      <c r="B6" s="27" t="s">
        <v>45</v>
      </c>
      <c r="C6" s="52" t="s">
        <v>57</v>
      </c>
      <c r="D6" s="34"/>
      <c r="E6" s="34">
        <v>7</v>
      </c>
    </row>
    <row r="7" spans="1:10" s="1" customFormat="1" ht="12.5">
      <c r="A7" s="18" t="s">
        <v>54</v>
      </c>
      <c r="B7" s="27" t="s">
        <v>45</v>
      </c>
      <c r="C7" s="52" t="s">
        <v>57</v>
      </c>
      <c r="D7" s="34"/>
      <c r="E7" s="34">
        <v>5</v>
      </c>
    </row>
    <row r="8" spans="1:10" s="38" customFormat="1" ht="15">
      <c r="A8" s="35" t="s">
        <v>61</v>
      </c>
      <c r="B8" s="36"/>
      <c r="C8" s="51"/>
      <c r="D8" s="37"/>
      <c r="E8" s="37"/>
    </row>
    <row r="9" spans="1:10" s="1" customFormat="1" ht="12.5">
      <c r="A9" s="18" t="s">
        <v>76</v>
      </c>
      <c r="B9" s="27" t="s">
        <v>66</v>
      </c>
      <c r="C9" s="52" t="s">
        <v>57</v>
      </c>
      <c r="D9" s="16"/>
      <c r="E9" s="16"/>
    </row>
    <row r="10" spans="1:10" s="1" customFormat="1" ht="12.5">
      <c r="A10" s="18" t="s">
        <v>77</v>
      </c>
      <c r="B10" s="27" t="s">
        <v>67</v>
      </c>
      <c r="C10" s="52" t="s">
        <v>57</v>
      </c>
      <c r="D10" s="16"/>
      <c r="E10" s="16"/>
    </row>
    <row r="11" spans="1:10" s="1" customFormat="1" ht="12.5">
      <c r="A11" s="18" t="s">
        <v>78</v>
      </c>
      <c r="B11" s="27" t="s">
        <v>68</v>
      </c>
      <c r="C11" s="52" t="s">
        <v>57</v>
      </c>
      <c r="D11" s="16"/>
      <c r="E11" s="16"/>
    </row>
    <row r="12" spans="1:10" s="38" customFormat="1" ht="15">
      <c r="A12" s="35" t="s">
        <v>63</v>
      </c>
      <c r="B12" s="36"/>
      <c r="C12" s="51"/>
      <c r="D12" s="37"/>
      <c r="E12" s="37"/>
    </row>
    <row r="13" spans="1:10" s="1" customFormat="1" ht="12.5">
      <c r="A13" s="18" t="s">
        <v>55</v>
      </c>
      <c r="B13" s="27"/>
      <c r="C13" s="52" t="s">
        <v>57</v>
      </c>
      <c r="D13" s="16"/>
      <c r="E13" s="16"/>
    </row>
    <row r="14" spans="1:10" s="1" customFormat="1" ht="12.5">
      <c r="A14" s="18" t="s">
        <v>56</v>
      </c>
      <c r="B14" s="27"/>
      <c r="C14" s="52" t="s">
        <v>57</v>
      </c>
      <c r="D14" s="16"/>
      <c r="E14" s="16"/>
    </row>
    <row r="15" spans="1:10" s="38" customFormat="1" ht="15">
      <c r="A15" s="35" t="s">
        <v>62</v>
      </c>
      <c r="B15" s="36"/>
      <c r="C15" s="51"/>
      <c r="D15" s="37"/>
      <c r="E15" s="37"/>
    </row>
    <row r="16" spans="1:10" s="1" customFormat="1" ht="12.5">
      <c r="A16" s="18" t="s">
        <v>75</v>
      </c>
      <c r="B16" s="27" t="s">
        <v>71</v>
      </c>
      <c r="C16" s="52" t="s">
        <v>57</v>
      </c>
      <c r="D16" s="16"/>
      <c r="E16" s="16"/>
    </row>
    <row r="17" spans="1:5" s="1" customFormat="1" ht="12.5">
      <c r="A17" s="18" t="s">
        <v>79</v>
      </c>
      <c r="B17" s="27" t="s">
        <v>72</v>
      </c>
      <c r="C17" s="52" t="s">
        <v>57</v>
      </c>
      <c r="D17" s="16"/>
      <c r="E17" s="16"/>
    </row>
    <row r="18" spans="1:5" s="1" customFormat="1" ht="12.5">
      <c r="A18" s="18" t="s">
        <v>80</v>
      </c>
      <c r="B18" s="27" t="s">
        <v>73</v>
      </c>
      <c r="C18" s="52" t="s">
        <v>57</v>
      </c>
      <c r="D18" s="16"/>
      <c r="E18" s="16"/>
    </row>
    <row r="19" spans="1:5" s="1" customFormat="1" ht="12.5">
      <c r="A19" s="18" t="s">
        <v>81</v>
      </c>
      <c r="B19" s="27" t="s">
        <v>74</v>
      </c>
      <c r="C19" s="52" t="s">
        <v>57</v>
      </c>
      <c r="D19" s="16"/>
      <c r="E19" s="16"/>
    </row>
    <row r="20" spans="1:5" s="38" customFormat="1" ht="15">
      <c r="A20" s="35" t="s">
        <v>65</v>
      </c>
      <c r="B20" s="36"/>
      <c r="C20" s="51"/>
      <c r="D20" s="37"/>
      <c r="E20" s="37"/>
    </row>
    <row r="21" spans="1:5" s="1" customFormat="1" ht="12.5">
      <c r="A21" s="22" t="s">
        <v>82</v>
      </c>
      <c r="B21" s="27" t="s">
        <v>69</v>
      </c>
      <c r="C21" s="52" t="s">
        <v>57</v>
      </c>
      <c r="D21" s="16"/>
      <c r="E21" s="16"/>
    </row>
    <row r="22" spans="1:5" s="1" customFormat="1" ht="12.5">
      <c r="A22" s="22" t="s">
        <v>83</v>
      </c>
      <c r="B22" s="27" t="s">
        <v>70</v>
      </c>
      <c r="C22" s="52" t="s">
        <v>57</v>
      </c>
      <c r="D22" s="16"/>
      <c r="E22" s="16"/>
    </row>
    <row r="23" spans="1:5" s="1" customFormat="1" ht="12.5">
      <c r="A23" s="22"/>
      <c r="B23" s="27"/>
      <c r="C23" s="52"/>
      <c r="D23" s="16"/>
      <c r="E23" s="16"/>
    </row>
    <row r="24" spans="1:5" s="1" customFormat="1" ht="12.5">
      <c r="A24" s="22"/>
      <c r="B24" s="27"/>
      <c r="C24" s="52"/>
      <c r="D24" s="16"/>
      <c r="E24" s="16"/>
    </row>
    <row r="25" spans="1:5" s="1" customFormat="1" ht="12.5">
      <c r="A25" s="22"/>
      <c r="B25" s="27"/>
      <c r="C25" s="52"/>
      <c r="D25" s="16"/>
      <c r="E25" s="16"/>
    </row>
    <row r="26" spans="1:5" s="1" customFormat="1" ht="12.5">
      <c r="A26" s="22"/>
      <c r="B26" s="27"/>
      <c r="C26" s="52"/>
      <c r="D26" s="16"/>
      <c r="E26" s="16"/>
    </row>
    <row r="27" spans="1:5" s="38" customFormat="1" ht="15">
      <c r="A27" s="35" t="s">
        <v>87</v>
      </c>
      <c r="B27" s="36"/>
      <c r="C27" s="51"/>
      <c r="D27" s="37"/>
      <c r="E27" s="37"/>
    </row>
    <row r="28" spans="1:5" s="49" customFormat="1" ht="15">
      <c r="A28" s="46" t="s">
        <v>88</v>
      </c>
      <c r="B28" s="47"/>
      <c r="C28" s="54"/>
      <c r="D28" s="48"/>
      <c r="E28" s="48"/>
    </row>
    <row r="29" spans="1:5" s="1" customFormat="1" ht="12.5">
      <c r="A29" s="45" t="s">
        <v>103</v>
      </c>
      <c r="B29" s="27"/>
      <c r="C29" s="52" t="s">
        <v>57</v>
      </c>
      <c r="D29" s="34"/>
      <c r="E29" s="34">
        <v>11</v>
      </c>
    </row>
    <row r="30" spans="1:5" s="1" customFormat="1" ht="12.5">
      <c r="A30" s="45" t="s">
        <v>104</v>
      </c>
      <c r="B30" s="27"/>
      <c r="C30" s="53"/>
      <c r="D30" s="34"/>
      <c r="E30" s="34">
        <f>E29-'HIDDEN - Assumptions'!$C$5</f>
        <v>10.085599999999999</v>
      </c>
    </row>
    <row r="31" spans="1:5">
      <c r="A31" s="45" t="s">
        <v>64</v>
      </c>
      <c r="B31" s="27"/>
      <c r="C31" s="53"/>
      <c r="D31" s="39"/>
      <c r="E31" s="39">
        <f>$E$4/($E$30*3.3)</f>
        <v>4.5068756895519808</v>
      </c>
    </row>
    <row r="32" spans="1:5">
      <c r="A32" s="45" t="s">
        <v>87</v>
      </c>
      <c r="B32" s="27"/>
      <c r="C32" s="53"/>
      <c r="D32" s="16"/>
      <c r="E32" s="16" t="str">
        <f>VLOOKUP(E31,'HIDDEN - Assumptions'!B8:C14,2,TRUE)</f>
        <v>A</v>
      </c>
    </row>
    <row r="33" spans="1:5" s="49" customFormat="1" ht="15">
      <c r="A33" s="46" t="s">
        <v>92</v>
      </c>
      <c r="B33" s="47"/>
      <c r="C33" s="54"/>
      <c r="D33" s="48"/>
      <c r="E33" s="48"/>
    </row>
    <row r="34" spans="1:5" s="1" customFormat="1" ht="12.5">
      <c r="A34" s="45" t="s">
        <v>103</v>
      </c>
      <c r="B34" s="27"/>
      <c r="C34" s="52" t="s">
        <v>57</v>
      </c>
      <c r="D34" s="34"/>
      <c r="E34" s="34">
        <v>11</v>
      </c>
    </row>
    <row r="35" spans="1:5" s="1" customFormat="1" ht="12.5">
      <c r="A35" s="45" t="s">
        <v>104</v>
      </c>
      <c r="B35" s="27"/>
      <c r="C35" s="53"/>
      <c r="D35" s="34"/>
      <c r="E35" s="34">
        <f>E34-'HIDDEN - Assumptions'!$C$5</f>
        <v>10.085599999999999</v>
      </c>
    </row>
    <row r="36" spans="1:5" s="1" customFormat="1" ht="12.5">
      <c r="A36" s="45" t="s">
        <v>64</v>
      </c>
      <c r="B36" s="27"/>
      <c r="C36" s="53"/>
      <c r="D36" s="39"/>
      <c r="E36" s="39">
        <f>$E$4/($E$35*3.3)</f>
        <v>4.5068756895519808</v>
      </c>
    </row>
    <row r="37" spans="1:5" s="1" customFormat="1" ht="12.5">
      <c r="A37" s="45" t="s">
        <v>87</v>
      </c>
      <c r="B37" s="27"/>
      <c r="C37" s="53"/>
      <c r="D37" s="16"/>
      <c r="E37" s="16" t="str">
        <f>VLOOKUP(E36,'HIDDEN - Assumptions'!B16:C22,2,TRUE)</f>
        <v>A</v>
      </c>
    </row>
    <row r="38" spans="1:5" s="49" customFormat="1" ht="15">
      <c r="A38" s="46" t="s">
        <v>93</v>
      </c>
      <c r="B38" s="47"/>
      <c r="C38" s="54"/>
      <c r="D38" s="48"/>
      <c r="E38" s="48"/>
    </row>
    <row r="39" spans="1:5">
      <c r="A39" s="45" t="s">
        <v>94</v>
      </c>
      <c r="B39" s="27"/>
      <c r="C39" s="52" t="s">
        <v>57</v>
      </c>
      <c r="D39" s="16"/>
      <c r="E39" s="16">
        <v>3</v>
      </c>
    </row>
    <row r="40" spans="1:5">
      <c r="A40" s="45" t="s">
        <v>95</v>
      </c>
      <c r="B40" s="27" t="s">
        <v>96</v>
      </c>
      <c r="C40" s="52" t="s">
        <v>57</v>
      </c>
      <c r="D40" s="16"/>
      <c r="E40" s="16" t="s">
        <v>97</v>
      </c>
    </row>
    <row r="41" spans="1:5">
      <c r="A41" s="45" t="s">
        <v>98</v>
      </c>
      <c r="B41" s="27" t="s">
        <v>47</v>
      </c>
      <c r="C41" s="53"/>
      <c r="D41" s="16"/>
      <c r="E41" s="16">
        <f>E39*'HIDDEN - Assumptions'!$C$4*5</f>
        <v>1500</v>
      </c>
    </row>
    <row r="42" spans="1:5" s="1" customFormat="1" ht="12.5">
      <c r="A42" s="45" t="s">
        <v>87</v>
      </c>
      <c r="B42" s="27"/>
      <c r="C42" s="53"/>
      <c r="D42" s="16"/>
      <c r="E42" s="16" t="str">
        <f>IF(E4&gt;E41,"F","A")</f>
        <v>A</v>
      </c>
    </row>
    <row r="43" spans="1:5" s="49" customFormat="1" ht="15">
      <c r="A43" s="46" t="s">
        <v>100</v>
      </c>
      <c r="B43" s="47"/>
      <c r="C43" s="54"/>
      <c r="D43" s="48"/>
      <c r="E43" s="48"/>
    </row>
    <row r="44" spans="1:5">
      <c r="A44" s="45" t="s">
        <v>94</v>
      </c>
      <c r="B44" s="27"/>
      <c r="C44" s="52" t="s">
        <v>57</v>
      </c>
      <c r="D44" s="16"/>
      <c r="E44" s="16">
        <v>2</v>
      </c>
    </row>
    <row r="45" spans="1:5">
      <c r="A45" s="45" t="s">
        <v>95</v>
      </c>
      <c r="B45" s="27" t="s">
        <v>96</v>
      </c>
      <c r="C45" s="52" t="s">
        <v>57</v>
      </c>
      <c r="D45" s="16"/>
      <c r="E45" s="16" t="s">
        <v>101</v>
      </c>
    </row>
    <row r="46" spans="1:5">
      <c r="A46" s="45" t="s">
        <v>98</v>
      </c>
      <c r="B46" s="27" t="s">
        <v>47</v>
      </c>
      <c r="C46" s="55"/>
      <c r="D46" s="16"/>
      <c r="E46" s="16">
        <f>E44*'HIDDEN - Assumptions'!$C$4*5</f>
        <v>1000</v>
      </c>
    </row>
    <row r="47" spans="1:5">
      <c r="A47" s="45" t="s">
        <v>102</v>
      </c>
      <c r="B47" s="27" t="s">
        <v>45</v>
      </c>
      <c r="C47" s="52" t="s">
        <v>57</v>
      </c>
      <c r="D47" s="34"/>
      <c r="E47" s="34">
        <v>3</v>
      </c>
    </row>
    <row r="48" spans="1:5" s="1" customFormat="1" ht="12.5">
      <c r="A48" s="45" t="s">
        <v>105</v>
      </c>
      <c r="B48" s="27" t="s">
        <v>45</v>
      </c>
      <c r="C48" s="52" t="s">
        <v>57</v>
      </c>
      <c r="D48" s="34"/>
      <c r="E48" s="34">
        <f>E47-'HIDDEN - Assumptions'!C5</f>
        <v>2.0855999999999999</v>
      </c>
    </row>
    <row r="49" spans="1:5" s="1" customFormat="1" ht="12.5">
      <c r="A49" s="45" t="s">
        <v>64</v>
      </c>
      <c r="B49" s="27"/>
      <c r="C49" s="53"/>
      <c r="D49" s="34"/>
      <c r="E49" s="34">
        <f>(E4-E46)/(E48*3.3)</f>
        <v>-123.50199346747104</v>
      </c>
    </row>
    <row r="50" spans="1:5">
      <c r="A50" s="45" t="s">
        <v>87</v>
      </c>
      <c r="B50" s="27"/>
      <c r="C50" s="52"/>
      <c r="D50" s="16"/>
      <c r="E50" s="16" t="str">
        <f>IF(E49&lt;0,"A",VLOOKUP(E49,'HIDDEN - Assumptions'!B16:C22,2,TRUE))</f>
        <v>A</v>
      </c>
    </row>
    <row r="51" spans="1:5">
      <c r="A51" s="45"/>
      <c r="B51" s="27"/>
      <c r="C51" s="52"/>
      <c r="D51" s="16"/>
      <c r="E51" s="16"/>
    </row>
    <row r="52" spans="1:5">
      <c r="A52" s="45"/>
      <c r="B52" s="27"/>
      <c r="C52" s="55"/>
      <c r="D52" s="16"/>
      <c r="E52" s="16"/>
    </row>
    <row r="53" spans="1:5">
      <c r="A53" s="45"/>
      <c r="B53" s="27"/>
      <c r="C53" s="52"/>
      <c r="D53" s="16"/>
      <c r="E53" s="16"/>
    </row>
    <row r="54" spans="1:5">
      <c r="A54" s="45"/>
      <c r="B54" s="27"/>
      <c r="C54" s="52"/>
      <c r="D54" s="16"/>
      <c r="E54" s="16"/>
    </row>
    <row r="55" spans="1:5">
      <c r="A55" s="19"/>
      <c r="B55" s="28"/>
      <c r="C55" s="55"/>
      <c r="D55" s="16"/>
      <c r="E55" s="16"/>
    </row>
    <row r="56" spans="1:5">
      <c r="A56" s="19"/>
      <c r="B56" s="28"/>
      <c r="C56" s="55"/>
    </row>
    <row r="57" spans="1:5">
      <c r="A57" s="19"/>
      <c r="B57" s="28"/>
      <c r="C57" s="55"/>
    </row>
    <row r="58" spans="1:5">
      <c r="A58" s="19"/>
      <c r="B58" s="28"/>
      <c r="C58" s="55"/>
    </row>
    <row r="59" spans="1:5">
      <c r="A59" s="19"/>
      <c r="B59" s="28"/>
      <c r="C59" s="55"/>
    </row>
    <row r="60" spans="1:5">
      <c r="A60" s="19"/>
      <c r="B60" s="28"/>
      <c r="C60" s="55"/>
    </row>
    <row r="61" spans="1:5">
      <c r="A61" s="19"/>
      <c r="B61" s="28"/>
      <c r="C61" s="55"/>
    </row>
    <row r="62" spans="1:5">
      <c r="A62" s="19"/>
      <c r="B62" s="28"/>
      <c r="C62" s="55"/>
    </row>
    <row r="63" spans="1:5">
      <c r="A63" s="19"/>
      <c r="B63" s="28"/>
      <c r="C63" s="55"/>
    </row>
    <row r="64" spans="1:5">
      <c r="A64" s="19"/>
      <c r="B64" s="28"/>
      <c r="C64" s="55"/>
    </row>
    <row r="65" spans="1:3">
      <c r="A65" s="19"/>
      <c r="B65" s="28"/>
      <c r="C65" s="55"/>
    </row>
    <row r="66" spans="1:3">
      <c r="A66" s="19"/>
      <c r="B66" s="28"/>
      <c r="C66" s="55"/>
    </row>
    <row r="67" spans="1:3">
      <c r="A67" s="19"/>
      <c r="B67" s="28"/>
      <c r="C67" s="55"/>
    </row>
    <row r="68" spans="1:3">
      <c r="A68" s="19"/>
      <c r="B68" s="28"/>
      <c r="C68" s="55"/>
    </row>
    <row r="69" spans="1:3">
      <c r="A69" s="19"/>
      <c r="B69" s="28"/>
      <c r="C69" s="55"/>
    </row>
    <row r="70" spans="1:3">
      <c r="A70" s="19"/>
      <c r="B70" s="28"/>
      <c r="C70" s="55"/>
    </row>
    <row r="71" spans="1:3">
      <c r="A71" s="19"/>
      <c r="B71" s="28"/>
      <c r="C71" s="55"/>
    </row>
    <row r="72" spans="1:3">
      <c r="A72" s="20"/>
      <c r="B72" s="29"/>
      <c r="C72" s="56"/>
    </row>
    <row r="73" spans="1:3">
      <c r="A73" s="21"/>
      <c r="B73" s="30"/>
    </row>
    <row r="74" spans="1:3">
      <c r="A74" s="21"/>
      <c r="B74" s="30"/>
    </row>
  </sheetData>
  <phoneticPr fontId="3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JLOS_data</vt:lpstr>
      <vt:lpstr>Inputs</vt:lpstr>
      <vt:lpstr>HIDDEN - Assumptions</vt:lpstr>
      <vt:lpstr>HIDDEN - vlookup</vt:lpstr>
      <vt:lpstr>HIDDEN - LOS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 Wong</dc:creator>
  <cp:lastModifiedBy>Tianhao Ma</cp:lastModifiedBy>
  <dcterms:created xsi:type="dcterms:W3CDTF">2019-01-31T08:03:03Z</dcterms:created>
  <dcterms:modified xsi:type="dcterms:W3CDTF">2026-03-18T09:04:02Z</dcterms:modified>
</cp:coreProperties>
</file>